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G:\Mon Drive\Cobenefices_Clara\Codage\"/>
    </mc:Choice>
  </mc:AlternateContent>
  <xr:revisionPtr revIDLastSave="0" documentId="8_{92FE873A-F25A-412B-A9E4-D11D9238B45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Extraction" sheetId="1" r:id="rId1"/>
    <sheet name="Listes" sheetId="2" r:id="rId2"/>
    <sheet name="Codebook" sheetId="3" r:id="rId3"/>
  </sheets>
  <definedNames>
    <definedName name="_xlnm._FilterDatabase" localSheetId="0" hidden="1">Extraction!$A$1:$CE$1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9" i="1" l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18" i="1"/>
  <c r="AA19" i="1"/>
  <c r="AC19" i="1" s="1"/>
  <c r="AA20" i="1"/>
  <c r="AC20" i="1" s="1"/>
  <c r="AA21" i="1"/>
  <c r="AC21" i="1" s="1"/>
  <c r="AA22" i="1"/>
  <c r="AC22" i="1" s="1"/>
  <c r="AA23" i="1"/>
  <c r="AC23" i="1" s="1"/>
  <c r="AA24" i="1"/>
  <c r="AC24" i="1" s="1"/>
  <c r="AA25" i="1"/>
  <c r="AC25" i="1" s="1"/>
  <c r="AA26" i="1"/>
  <c r="AC26" i="1" s="1"/>
  <c r="AA27" i="1"/>
  <c r="AA28" i="1"/>
  <c r="AA29" i="1"/>
  <c r="AC29" i="1" s="1"/>
  <c r="AA30" i="1"/>
  <c r="AC30" i="1" s="1"/>
  <c r="AA31" i="1"/>
  <c r="AC31" i="1" s="1"/>
  <c r="AA32" i="1"/>
  <c r="AC32" i="1" s="1"/>
  <c r="AA33" i="1"/>
  <c r="AA34" i="1"/>
  <c r="AA35" i="1"/>
  <c r="AA36" i="1"/>
  <c r="AC36" i="1" s="1"/>
  <c r="AA37" i="1"/>
  <c r="AC37" i="1" s="1"/>
  <c r="AA38" i="1"/>
  <c r="AC38" i="1" s="1"/>
  <c r="AA39" i="1"/>
  <c r="AC39" i="1" s="1"/>
  <c r="AA40" i="1"/>
  <c r="AC40" i="1" s="1"/>
  <c r="AA41" i="1"/>
  <c r="AC41" i="1" s="1"/>
  <c r="AA42" i="1"/>
  <c r="AC42" i="1" s="1"/>
  <c r="AA43" i="1"/>
  <c r="AC43" i="1" s="1"/>
  <c r="AA44" i="1"/>
  <c r="AC44" i="1" s="1"/>
  <c r="AA45" i="1"/>
  <c r="AC45" i="1" s="1"/>
  <c r="AA46" i="1"/>
  <c r="AC46" i="1" s="1"/>
  <c r="AA47" i="1"/>
  <c r="AC47" i="1" s="1"/>
  <c r="AA48" i="1"/>
  <c r="AC48" i="1" s="1"/>
  <c r="AA49" i="1"/>
  <c r="AC49" i="1" s="1"/>
  <c r="AA50" i="1"/>
  <c r="AC50" i="1" s="1"/>
  <c r="AA51" i="1"/>
  <c r="AC51" i="1" s="1"/>
  <c r="AA52" i="1"/>
  <c r="AC52" i="1" s="1"/>
  <c r="AA53" i="1"/>
  <c r="AC53" i="1" s="1"/>
  <c r="AA54" i="1"/>
  <c r="AC54" i="1" s="1"/>
  <c r="AA55" i="1"/>
  <c r="AC55" i="1" s="1"/>
  <c r="AA56" i="1"/>
  <c r="AA57" i="1"/>
  <c r="AC57" i="1" s="1"/>
  <c r="AA58" i="1"/>
  <c r="AC58" i="1" s="1"/>
  <c r="AA59" i="1"/>
  <c r="AC59" i="1" s="1"/>
  <c r="AA60" i="1"/>
  <c r="AC60" i="1" s="1"/>
  <c r="AA61" i="1"/>
  <c r="AC61" i="1" s="1"/>
  <c r="AA62" i="1"/>
  <c r="AC62" i="1" s="1"/>
  <c r="AA63" i="1"/>
  <c r="AC63" i="1" s="1"/>
  <c r="AA64" i="1"/>
  <c r="AC64" i="1" s="1"/>
  <c r="AA65" i="1"/>
  <c r="AC65" i="1" s="1"/>
  <c r="AA18" i="1"/>
  <c r="AC18" i="1" s="1"/>
  <c r="AC34" i="1"/>
  <c r="AC35" i="1"/>
  <c r="AC27" i="1"/>
  <c r="AC28" i="1"/>
  <c r="AC33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P41" i="1"/>
  <c r="P40" i="1"/>
  <c r="P39" i="1"/>
  <c r="P38" i="1"/>
  <c r="P37" i="1"/>
  <c r="P36" i="1"/>
  <c r="P35" i="1"/>
  <c r="P34" i="1"/>
  <c r="P33" i="1"/>
  <c r="W33" i="1" s="1"/>
  <c r="X33" i="1" s="1"/>
  <c r="P32" i="1"/>
  <c r="W32" i="1" s="1"/>
  <c r="P31" i="1"/>
  <c r="P30" i="1"/>
  <c r="P29" i="1"/>
  <c r="P28" i="1"/>
  <c r="P27" i="1"/>
  <c r="P26" i="1"/>
  <c r="P25" i="1"/>
  <c r="P24" i="1"/>
  <c r="P23" i="1"/>
  <c r="P22" i="1"/>
  <c r="P21" i="1"/>
  <c r="P20" i="1"/>
  <c r="P19" i="1"/>
  <c r="P18" i="1"/>
  <c r="AC56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42" i="1"/>
  <c r="W25" i="1" l="1"/>
  <c r="Y25" i="1" s="1"/>
  <c r="W31" i="1"/>
  <c r="W20" i="1"/>
  <c r="Y20" i="1" s="1"/>
  <c r="W34" i="1"/>
  <c r="W26" i="1"/>
  <c r="X26" i="1" s="1"/>
  <c r="Y31" i="1"/>
  <c r="X31" i="1"/>
  <c r="W28" i="1"/>
  <c r="Y28" i="1" s="1"/>
  <c r="W41" i="1"/>
  <c r="X41" i="1" s="1"/>
  <c r="W37" i="1"/>
  <c r="X37" i="1"/>
  <c r="Y37" i="1"/>
  <c r="Y26" i="1"/>
  <c r="W35" i="1"/>
  <c r="X35" i="1" s="1"/>
  <c r="W21" i="1"/>
  <c r="X21" i="1" s="1"/>
  <c r="W36" i="1"/>
  <c r="Y36" i="1" s="1"/>
  <c r="W19" i="1"/>
  <c r="X19" i="1" s="1"/>
  <c r="W23" i="1"/>
  <c r="X23" i="1" s="1"/>
  <c r="W24" i="1"/>
  <c r="X24" i="1" s="1"/>
  <c r="W30" i="1"/>
  <c r="X30" i="1" s="1"/>
  <c r="W40" i="1"/>
  <c r="X40" i="1" s="1"/>
  <c r="W29" i="1"/>
  <c r="Y29" i="1" s="1"/>
  <c r="W22" i="1"/>
  <c r="X22" i="1" s="1"/>
  <c r="W18" i="1"/>
  <c r="X18" i="1" s="1"/>
  <c r="W38" i="1"/>
  <c r="X38" i="1" s="1"/>
  <c r="W39" i="1"/>
  <c r="X39" i="1" s="1"/>
  <c r="W27" i="1"/>
  <c r="X27" i="1" s="1"/>
  <c r="Y34" i="1"/>
  <c r="X34" i="1"/>
  <c r="X32" i="1"/>
  <c r="Y32" i="1"/>
  <c r="Y33" i="1"/>
  <c r="Y19" i="1"/>
  <c r="X25" i="1" l="1"/>
  <c r="X28" i="1"/>
  <c r="X20" i="1"/>
  <c r="Y35" i="1"/>
  <c r="Y38" i="1"/>
  <c r="X36" i="1"/>
  <c r="Y27" i="1"/>
  <c r="Y41" i="1"/>
  <c r="Y21" i="1"/>
  <c r="Y18" i="1"/>
  <c r="Y22" i="1"/>
  <c r="Y30" i="1"/>
  <c r="X29" i="1"/>
  <c r="Y40" i="1"/>
  <c r="Y24" i="1"/>
  <c r="Y39" i="1"/>
  <c r="Y23" i="1"/>
  <c r="P65" i="1" l="1"/>
  <c r="W65" i="1" s="1"/>
  <c r="P64" i="1"/>
  <c r="W64" i="1" s="1"/>
  <c r="P63" i="1"/>
  <c r="W63" i="1" s="1"/>
  <c r="P62" i="1"/>
  <c r="W62" i="1" s="1"/>
  <c r="P61" i="1"/>
  <c r="W61" i="1" s="1"/>
  <c r="P60" i="1"/>
  <c r="W60" i="1" s="1"/>
  <c r="P59" i="1"/>
  <c r="W59" i="1" s="1"/>
  <c r="P58" i="1"/>
  <c r="W58" i="1" s="1"/>
  <c r="P57" i="1"/>
  <c r="W57" i="1" s="1"/>
  <c r="P56" i="1"/>
  <c r="W56" i="1" s="1"/>
  <c r="P55" i="1"/>
  <c r="W55" i="1" s="1"/>
  <c r="P54" i="1"/>
  <c r="W54" i="1" s="1"/>
  <c r="P53" i="1"/>
  <c r="W53" i="1" s="1"/>
  <c r="P52" i="1"/>
  <c r="W52" i="1" s="1"/>
  <c r="P51" i="1"/>
  <c r="W51" i="1" s="1"/>
  <c r="P50" i="1"/>
  <c r="W50" i="1" s="1"/>
  <c r="P49" i="1"/>
  <c r="W49" i="1" s="1"/>
  <c r="P48" i="1"/>
  <c r="W48" i="1" s="1"/>
  <c r="AA2" i="1"/>
  <c r="AC2" i="1" s="1"/>
  <c r="P2" i="1"/>
  <c r="P47" i="1"/>
  <c r="W47" i="1" s="1"/>
  <c r="P46" i="1"/>
  <c r="W46" i="1" s="1"/>
  <c r="P45" i="1"/>
  <c r="W45" i="1" s="1"/>
  <c r="P44" i="1"/>
  <c r="W44" i="1" s="1"/>
  <c r="P43" i="1"/>
  <c r="W43" i="1" s="1"/>
  <c r="P42" i="1"/>
  <c r="W42" i="1" s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2" i="1"/>
  <c r="AB3" i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2" i="1"/>
  <c r="AA3" i="1"/>
  <c r="AC3" i="1" s="1"/>
  <c r="AA4" i="1"/>
  <c r="AC4" i="1" s="1"/>
  <c r="AA5" i="1"/>
  <c r="AC5" i="1" s="1"/>
  <c r="AA6" i="1"/>
  <c r="AC6" i="1" s="1"/>
  <c r="AA7" i="1"/>
  <c r="AC7" i="1" s="1"/>
  <c r="AA8" i="1"/>
  <c r="AC8" i="1" s="1"/>
  <c r="AA9" i="1"/>
  <c r="AC9" i="1" s="1"/>
  <c r="AA10" i="1"/>
  <c r="AC10" i="1" s="1"/>
  <c r="AA11" i="1"/>
  <c r="AC11" i="1" s="1"/>
  <c r="AA12" i="1"/>
  <c r="AC12" i="1" s="1"/>
  <c r="AA13" i="1"/>
  <c r="AC13" i="1" s="1"/>
  <c r="AA14" i="1"/>
  <c r="AC14" i="1" s="1"/>
  <c r="AA15" i="1"/>
  <c r="AC15" i="1" s="1"/>
  <c r="AA16" i="1"/>
  <c r="AC16" i="1" s="1"/>
  <c r="AA17" i="1"/>
  <c r="AC17" i="1" s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W17" i="1" s="1"/>
  <c r="W6" i="1" l="1"/>
  <c r="W2" i="1"/>
  <c r="X2" i="1" s="1"/>
  <c r="X54" i="1"/>
  <c r="Y54" i="1"/>
  <c r="X56" i="1"/>
  <c r="Y56" i="1"/>
  <c r="Y62" i="1"/>
  <c r="X62" i="1"/>
  <c r="X63" i="1"/>
  <c r="Y63" i="1"/>
  <c r="Y47" i="1"/>
  <c r="X47" i="1"/>
  <c r="X57" i="1"/>
  <c r="Y57" i="1"/>
  <c r="X61" i="1"/>
  <c r="Y61" i="1"/>
  <c r="X64" i="1"/>
  <c r="Y64" i="1"/>
  <c r="Y53" i="1"/>
  <c r="X53" i="1"/>
  <c r="Y44" i="1"/>
  <c r="X44" i="1"/>
  <c r="X55" i="1"/>
  <c r="Y55" i="1"/>
  <c r="W4" i="1"/>
  <c r="Y46" i="1"/>
  <c r="X46" i="1"/>
  <c r="Y58" i="1"/>
  <c r="X58" i="1"/>
  <c r="X49" i="1"/>
  <c r="Y49" i="1"/>
  <c r="Y51" i="1"/>
  <c r="X51" i="1"/>
  <c r="Y42" i="1"/>
  <c r="X42" i="1"/>
  <c r="X43" i="1"/>
  <c r="Y43" i="1"/>
  <c r="X45" i="1"/>
  <c r="Y45" i="1"/>
  <c r="W3" i="1"/>
  <c r="Y59" i="1"/>
  <c r="X59" i="1"/>
  <c r="X48" i="1"/>
  <c r="Y48" i="1"/>
  <c r="X50" i="1"/>
  <c r="Y50" i="1"/>
  <c r="X65" i="1"/>
  <c r="Y65" i="1"/>
  <c r="X52" i="1"/>
  <c r="Y52" i="1"/>
  <c r="W12" i="1"/>
  <c r="W5" i="1"/>
  <c r="W11" i="1"/>
  <c r="X60" i="1"/>
  <c r="Y60" i="1"/>
  <c r="W10" i="1"/>
  <c r="W16" i="1"/>
  <c r="W8" i="1"/>
  <c r="W15" i="1"/>
  <c r="W9" i="1"/>
  <c r="W14" i="1"/>
  <c r="W7" i="1"/>
  <c r="W13" i="1"/>
  <c r="Y2" i="1" l="1"/>
  <c r="X6" i="1"/>
  <c r="Y6" i="1"/>
  <c r="X10" i="1"/>
  <c r="Y10" i="1"/>
  <c r="X3" i="1"/>
  <c r="Y3" i="1"/>
  <c r="X11" i="1"/>
  <c r="Y11" i="1"/>
  <c r="X4" i="1"/>
  <c r="Y4" i="1"/>
  <c r="X12" i="1"/>
  <c r="Y12" i="1"/>
  <c r="X17" i="1"/>
  <c r="Y17" i="1"/>
  <c r="X5" i="1"/>
  <c r="Y5" i="1"/>
  <c r="X13" i="1"/>
  <c r="Y13" i="1"/>
  <c r="X7" i="1"/>
  <c r="Y7" i="1"/>
  <c r="X14" i="1"/>
  <c r="Y14" i="1"/>
  <c r="X9" i="1"/>
  <c r="Y9" i="1"/>
  <c r="X15" i="1"/>
  <c r="Y15" i="1"/>
  <c r="X8" i="1"/>
  <c r="Y8" i="1"/>
  <c r="X16" i="1"/>
  <c r="Y1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codebook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[Identification]
Cle unique de l'article (ex. GraffZivin2012). Identique pour toutes les estimations d'un meme article.</t>
        </r>
      </text>
    </comment>
    <comment ref="B1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[Identification]
Cle unique de CETTE ligne (ex. GraffZivin2012_01). Une ligne = une estimation.</t>
        </r>
      </text>
    </comment>
    <comment ref="C1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[Identification]
Auteurs.</t>
        </r>
      </text>
    </comment>
    <comment ref="D1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[Identification]
Annee de publication.</t>
        </r>
      </text>
    </comment>
    <comment ref="E1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[Identification]
Titre de l'article.</t>
        </r>
      </text>
    </comment>
    <comment ref="F1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[Identification]
Revue ou serie de working paper.</t>
        </r>
      </text>
    </comment>
    <comment ref="G1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 xml:space="preserve">[Identification]
Statut de publication.
</t>
        </r>
      </text>
    </comment>
    <comment ref="H1" authorId="0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[Identification]
Revu par les pairs ?</t>
        </r>
      </text>
    </comment>
    <comment ref="I1" authorId="0" shapeId="0" xr:uid="{00000000-0006-0000-0000-000009000000}">
      <text>
        <r>
          <rPr>
            <sz val="11"/>
            <color theme="1"/>
            <rFont val="Calibri"/>
            <family val="2"/>
            <scheme val="minor"/>
          </rPr>
          <t>[Identification]
Pays / region des donnees.</t>
        </r>
      </text>
    </comment>
    <comment ref="J1" authorId="0" shapeId="0" xr:uid="{00000000-0006-0000-0000-00000A000000}">
      <text>
        <r>
          <rPr>
            <sz val="11"/>
            <color theme="1"/>
            <rFont val="Calibri"/>
            <family val="2"/>
            <scheme val="minor"/>
          </rPr>
          <t>[Identification]
Base d'origine (pour PRISMA).</t>
        </r>
      </text>
    </comment>
    <comment ref="K1" authorId="0" shapeId="0" xr:uid="{00000000-0006-0000-0000-00000B000000}">
      <text>
        <r>
          <rPr>
            <sz val="11"/>
            <color theme="1"/>
            <rFont val="Calibri"/>
            <family val="2"/>
            <scheme val="minor"/>
          </rPr>
          <t>[Identification]
Nombre de citations (proxy qualite, optionnel).</t>
        </r>
      </text>
    </comment>
    <comment ref="L1" authorId="0" shapeId="0" xr:uid="{00000000-0006-0000-0000-00000C000000}">
      <text>
        <r>
          <rPr>
            <sz val="11"/>
            <color theme="1"/>
            <rFont val="Calibri"/>
            <family val="2"/>
            <scheme val="minor"/>
          </rPr>
          <t>[Taille d'effet (obligatoire)]
Type d'effet tel que rapporte.</t>
        </r>
      </text>
    </comment>
    <comment ref="N1" authorId="0" shapeId="0" xr:uid="{00000000-0006-0000-0000-00000D000000}">
      <text>
        <r>
          <rPr>
            <sz val="11"/>
            <color theme="1"/>
            <rFont val="Calibri"/>
            <family val="2"/>
            <scheme val="minor"/>
          </rPr>
          <t>[Taille d'effet (obligatoire)]
Estimation ponctuelle BRUTE, telle que rapportee.</t>
        </r>
      </text>
    </comment>
    <comment ref="O1" authorId="0" shapeId="0" xr:uid="{00000000-0006-0000-0000-00000E000000}">
      <text>
        <r>
          <rPr>
            <sz val="11"/>
            <color theme="1"/>
            <rFont val="Calibri"/>
            <family val="2"/>
            <scheme val="minor"/>
          </rPr>
          <t>[Taille d'effet (obligatoire)]
Erreur-type BRUTE. VARIABLE LA PLUS CRITIQUE pour FAT-PET.</t>
        </r>
      </text>
    </comment>
    <comment ref="P1" authorId="0" shapeId="0" xr:uid="{00000000-0006-0000-0000-00000F000000}">
      <text>
        <r>
          <rPr>
            <sz val="11"/>
            <color theme="1"/>
            <rFont val="Calibri"/>
            <family val="2"/>
            <scheme val="minor"/>
          </rPr>
          <t>[Taille d'effet (obligatoire)]
t-statistique (pour reconstruire le SE s'il manque).</t>
        </r>
      </text>
    </comment>
    <comment ref="Q1" authorId="0" shapeId="0" xr:uid="{00000000-0006-0000-0000-000010000000}">
      <text>
        <r>
          <rPr>
            <sz val="11"/>
            <color theme="1"/>
            <rFont val="Calibri"/>
            <family val="2"/>
            <scheme val="minor"/>
          </rPr>
          <t>[Taille d'effet (obligatoire)]
p-value (secours pour le SE).</t>
        </r>
      </text>
    </comment>
    <comment ref="R1" authorId="0" shapeId="0" xr:uid="{00000000-0006-0000-0000-000011000000}">
      <text>
        <r>
          <rPr>
            <sz val="11"/>
            <color theme="1"/>
            <rFont val="Calibri"/>
            <family val="2"/>
            <scheme val="minor"/>
          </rPr>
          <t>[Taille d'effet (obligatoire)]
Borne basse de l'IC.</t>
        </r>
      </text>
    </comment>
    <comment ref="S1" authorId="0" shapeId="0" xr:uid="{00000000-0006-0000-0000-000012000000}">
      <text>
        <r>
          <rPr>
            <sz val="11"/>
            <color theme="1"/>
            <rFont val="Calibri"/>
            <family val="2"/>
            <scheme val="minor"/>
          </rPr>
          <t>[Taille d'effet (obligatoire)]
Borne haute de l'IC.</t>
        </r>
      </text>
    </comment>
    <comment ref="T1" authorId="0" shapeId="0" xr:uid="{00000000-0006-0000-0000-000013000000}">
      <text>
        <r>
          <rPr>
            <sz val="11"/>
            <color theme="1"/>
            <rFont val="Calibri"/>
            <family val="2"/>
            <scheme val="minor"/>
          </rPr>
          <t>[Taille d'effet (obligatoire)]
Taille d'echantillon N.</t>
        </r>
      </text>
    </comment>
    <comment ref="V1" authorId="0" shapeId="0" xr:uid="{00000000-0006-0000-0000-000014000000}">
      <text>
        <r>
          <rPr>
            <sz val="11"/>
            <color theme="1"/>
            <rFont val="Calibri"/>
            <family val="2"/>
            <scheme val="minor"/>
          </rPr>
          <t>[Taille d'effet (obligatoire)]
Degres de liberte.</t>
        </r>
      </text>
    </comment>
    <comment ref="Z1" authorId="0" shapeId="0" xr:uid="{00000000-0006-0000-0000-000015000000}">
      <text>
        <r>
          <rPr>
            <sz val="11"/>
            <color theme="1"/>
            <rFont val="Calibri"/>
            <family val="2"/>
            <scheme val="minor"/>
          </rPr>
          <t>[Taille d'effet (obligatoire)]
Comment le SE a ete obtenu. Hierarchie: SE direct &gt; via t &gt; via IC &gt; via p.</t>
        </r>
      </text>
    </comment>
    <comment ref="AA1" authorId="0" shapeId="0" xr:uid="{00000000-0006-0000-0000-000016000000}">
      <text>
        <r>
          <rPr>
            <sz val="11"/>
            <color theme="1"/>
            <rFont val="Calibri"/>
            <family val="2"/>
            <scheme val="minor"/>
          </rPr>
          <t>[Taille d'effet (obligatoire)]
Taille d'effet TRANSFORMEE (PCC ou elasticite standardisee) = ce qu'on pool.</t>
        </r>
      </text>
    </comment>
    <comment ref="AB1" authorId="0" shapeId="0" xr:uid="{00000000-0006-0000-0000-000017000000}">
      <text>
        <r>
          <rPr>
            <sz val="11"/>
            <color theme="1"/>
            <rFont val="Calibri"/>
            <family val="2"/>
            <scheme val="minor"/>
          </rPr>
          <t>[Taille d'effet (obligatoire)]
SE correspondant a l'effet transforme.</t>
        </r>
      </text>
    </comment>
    <comment ref="AC1" authorId="0" shapeId="0" xr:uid="{00000000-0006-0000-0000-000018000000}">
      <text>
        <r>
          <rPr>
            <sz val="11"/>
            <color theme="1"/>
            <rFont val="Calibri"/>
            <family val="2"/>
            <scheme val="minor"/>
          </rPr>
          <t>[Taille d'effet (obligatoire)]
Effet reoriente: NEGATIF = la pollution degrade la productivite.</t>
        </r>
      </text>
    </comment>
    <comment ref="AD1" authorId="0" shapeId="0" xr:uid="{00000000-0006-0000-0000-000019000000}">
      <text>
        <r>
          <rPr>
            <sz val="11"/>
            <color theme="1"/>
            <rFont val="Calibri"/>
            <family val="2"/>
            <scheme val="minor"/>
          </rPr>
          <t>[Pollution / exposition]
Type de polluant.</t>
        </r>
      </text>
    </comment>
    <comment ref="AE1" authorId="0" shapeId="0" xr:uid="{00000000-0006-0000-0000-00001A000000}">
      <text>
        <r>
          <rPr>
            <sz val="11"/>
            <color theme="1"/>
            <rFont val="Calibri"/>
            <family val="2"/>
            <scheme val="minor"/>
          </rPr>
          <t>[Pollution / exposition]
Unite (ug/m3, ppb, indice...).</t>
        </r>
      </text>
    </comment>
    <comment ref="AF1" authorId="0" shapeId="0" xr:uid="{00000000-0006-0000-0000-00001B000000}">
      <text>
        <r>
          <rPr>
            <sz val="11"/>
            <color theme="1"/>
            <rFont val="Calibri"/>
            <family val="2"/>
            <scheme val="minor"/>
          </rPr>
          <t>[Pollution / exposition]
Moyenne du polluant dans l'echantillon.</t>
        </r>
      </text>
    </comment>
    <comment ref="AG1" authorId="0" shapeId="0" xr:uid="{00000000-0006-0000-0000-00001C000000}">
      <text>
        <r>
          <rPr>
            <sz val="11"/>
            <color theme="1"/>
            <rFont val="Calibri"/>
            <family val="2"/>
            <scheme val="minor"/>
          </rPr>
          <t>[Pollution / exposition]
Ecart-type du polluant.</t>
        </r>
      </text>
    </comment>
    <comment ref="AH1" authorId="0" shapeId="0" xr:uid="{00000000-0006-0000-0000-00001D000000}">
      <text>
        <r>
          <rPr>
            <sz val="11"/>
            <color theme="1"/>
            <rFont val="Calibri"/>
            <family val="2"/>
            <scheme val="minor"/>
          </rPr>
          <t>[Pollution / exposition]
Minimum du polluant.</t>
        </r>
      </text>
    </comment>
    <comment ref="AI1" authorId="0" shapeId="0" xr:uid="{00000000-0006-0000-0000-00001E000000}">
      <text>
        <r>
          <rPr>
            <sz val="11"/>
            <color theme="1"/>
            <rFont val="Calibri"/>
            <family val="2"/>
            <scheme val="minor"/>
          </rPr>
          <t>[Pollution / exposition]
Maximum du polluant.</t>
        </r>
      </text>
    </comment>
    <comment ref="AJ1" authorId="0" shapeId="0" xr:uid="{00000000-0006-0000-0000-00001F000000}">
      <text>
        <r>
          <rPr>
            <sz val="11"/>
            <color theme="1"/>
            <rFont val="Calibri"/>
            <family val="2"/>
            <scheme val="minor"/>
          </rPr>
          <t>[Pollution / exposition]
Methode de mesure de l'exposition.</t>
        </r>
      </text>
    </comment>
    <comment ref="AK1" authorId="0" shapeId="0" xr:uid="{00000000-0006-0000-0000-000020000000}">
      <text>
        <r>
          <rPr>
            <sz val="11"/>
            <color theme="1"/>
            <rFont val="Calibri"/>
            <family val="2"/>
            <scheme val="minor"/>
          </rPr>
          <t>[Pollution / exposition]
Niveau d'assignation de l'exposition.</t>
        </r>
      </text>
    </comment>
    <comment ref="AL1" authorId="0" shapeId="0" xr:uid="{00000000-0006-0000-0000-000021000000}">
      <text>
        <r>
          <rPr>
            <sz val="11"/>
            <color theme="1"/>
            <rFont val="Calibri"/>
            <family val="2"/>
            <scheme val="minor"/>
          </rPr>
          <t>[Pollution / exposition]
Interieur / exterieur. MODERATEUR (rho du cadre).</t>
        </r>
      </text>
    </comment>
    <comment ref="AM1" authorId="0" shapeId="0" xr:uid="{00000000-0006-0000-0000-000022000000}">
      <text>
        <r>
          <rPr>
            <sz val="11"/>
            <color theme="1"/>
            <rFont val="Calibri"/>
            <family val="2"/>
            <scheme val="minor"/>
          </rPr>
          <t>[Pollution / exposition]
Horizon de l'effet: short_run (jour meme) / long_run (cumule) / both. MODERATEUR PRINCIPAL. Version categorielle de lag_max_days.</t>
        </r>
      </text>
    </comment>
    <comment ref="AN1" authorId="0" shapeId="0" xr:uid="{00000000-0006-0000-0000-000023000000}">
      <text>
        <r>
          <rPr>
            <sz val="11"/>
            <color theme="1"/>
            <rFont val="Calibri"/>
            <family val="2"/>
            <scheme val="minor"/>
          </rPr>
          <t>[Pollution / exposition]
Jour le plus RECENT inclus dans la fenetre d'exposition (presque toujours 0).</t>
        </r>
      </text>
    </comment>
    <comment ref="AO1" authorId="0" shapeId="0" xr:uid="{00000000-0006-0000-0000-000024000000}">
      <text>
        <r>
          <rPr>
            <sz val="11"/>
            <color theme="1"/>
            <rFont val="Calibri"/>
            <family val="2"/>
            <scheme val="minor"/>
          </rPr>
          <t>[Pollution / exposition]
Jour le plus ANCIEN remonte (0=jour meme, 30=cumul un mois, 365=un an). Version continue de effect_timing.</t>
        </r>
      </text>
    </comment>
    <comment ref="AP1" authorId="0" shapeId="0" xr:uid="{00000000-0006-0000-0000-000025000000}">
      <text>
        <r>
          <rPr>
            <sz val="11"/>
            <color theme="1"/>
            <rFont val="Calibri"/>
            <family val="2"/>
            <scheme val="minor"/>
          </rPr>
          <t>[Outcome / productivite]
Type d'outcome de productivite.</t>
        </r>
      </text>
    </comment>
    <comment ref="AQ1" authorId="0" shapeId="0" xr:uid="{00000000-0006-0000-0000-000026000000}">
      <text>
        <r>
          <rPr>
            <sz val="11"/>
            <color theme="1"/>
            <rFont val="Calibri"/>
            <family val="2"/>
            <scheme val="minor"/>
          </rPr>
          <t>[Outcome / productivite]
Marge. DRAPEAU DE POOLING: extensive (absences) analysee A PART.</t>
        </r>
      </text>
    </comment>
    <comment ref="AR1" authorId="0" shapeId="0" xr:uid="{00000000-0006-0000-0000-000027000000}">
      <text>
        <r>
          <rPr>
            <sz val="11"/>
            <color theme="1"/>
            <rFont val="Calibri"/>
            <family val="2"/>
            <scheme val="minor"/>
          </rPr>
          <t>[Outcome / productivite]
Tache physique / cognitive. Moderateur du canal m.</t>
        </r>
      </text>
    </comment>
    <comment ref="AS1" authorId="0" shapeId="0" xr:uid="{00000000-0006-0000-0000-000028000000}">
      <text>
        <r>
          <rPr>
            <sz val="11"/>
            <color theme="1"/>
            <rFont val="Calibri"/>
            <family val="2"/>
            <scheme val="minor"/>
          </rPr>
          <t>[Outcome / productivite]
Niveau de qualification des travailleurs.</t>
        </r>
      </text>
    </comment>
    <comment ref="AT1" authorId="0" shapeId="0" xr:uid="{00000000-0006-0000-0000-000029000000}">
      <text>
        <r>
          <rPr>
            <sz val="11"/>
            <color theme="1"/>
            <rFont val="Calibri"/>
            <family val="2"/>
            <scheme val="minor"/>
          </rPr>
          <t>[Outcome / productivite]
Unite de mesure de l'outcome.</t>
        </r>
      </text>
    </comment>
    <comment ref="AU1" authorId="0" shapeId="0" xr:uid="{00000000-0006-0000-0000-00002A000000}">
      <text>
        <r>
          <rPr>
            <sz val="11"/>
            <color theme="1"/>
            <rFont val="Calibri"/>
            <family val="2"/>
            <scheme val="minor"/>
          </rPr>
          <t>[Outcome / productivite]
Moyenne de l'outcome dans l'echantillon.</t>
        </r>
      </text>
    </comment>
    <comment ref="AV1" authorId="0" shapeId="0" xr:uid="{00000000-0006-0000-0000-00002B000000}">
      <text>
        <r>
          <rPr>
            <sz val="11"/>
            <color theme="1"/>
            <rFont val="Calibri"/>
            <family val="2"/>
            <scheme val="minor"/>
          </rPr>
          <t>[Outcome / productivite]
Ecart-type de l'outcome.</t>
        </r>
      </text>
    </comment>
    <comment ref="AW1" authorId="0" shapeId="0" xr:uid="{00000000-0006-0000-0000-00002C000000}">
      <text>
        <r>
          <rPr>
            <sz val="11"/>
            <color theme="1"/>
            <rFont val="Calibri"/>
            <family val="2"/>
            <scheme val="minor"/>
          </rPr>
          <t>[Outcome / productivite]
Minimum de l'outcome.</t>
        </r>
      </text>
    </comment>
    <comment ref="AX1" authorId="0" shapeId="0" xr:uid="{00000000-0006-0000-0000-00002D000000}">
      <text>
        <r>
          <rPr>
            <sz val="11"/>
            <color theme="1"/>
            <rFont val="Calibri"/>
            <family val="2"/>
            <scheme val="minor"/>
          </rPr>
          <t>[Outcome / productivite]
Maximum de l'outcome.</t>
        </r>
      </text>
    </comment>
    <comment ref="AY1" authorId="0" shapeId="0" xr:uid="{00000000-0006-0000-0000-00002E000000}">
      <text>
        <r>
          <rPr>
            <sz val="11"/>
            <color theme="1"/>
            <rFont val="Calibri"/>
            <family val="2"/>
            <scheme val="minor"/>
          </rPr>
          <t>[Outcome / productivite]
Objectif ou auto-declare.</t>
        </r>
      </text>
    </comment>
    <comment ref="AZ1" authorId="0" shapeId="0" xr:uid="{00000000-0006-0000-0000-00002F000000}">
      <text>
        <r>
          <rPr>
            <sz val="11"/>
            <color theme="1"/>
            <rFont val="Calibri"/>
            <family val="2"/>
            <scheme val="minor"/>
          </rPr>
          <t>[Outcome / productivite]
Niveau d'observation de l'outcome.</t>
        </r>
      </text>
    </comment>
    <comment ref="BA1" authorId="0" shapeId="0" xr:uid="{5E87CD46-9226-41F4-B1CC-D2CBA461170F}">
      <text>
        <r>
          <rPr>
            <sz val="11"/>
            <color theme="1"/>
            <rFont val="Calibri"/>
            <family val="2"/>
            <scheme val="minor"/>
          </rPr>
          <t>[Echantillon / contexte]
Secteur / industrie.</t>
        </r>
      </text>
    </comment>
    <comment ref="BB1" authorId="0" shapeId="0" xr:uid="{00000000-0006-0000-0000-000030000000}">
      <text>
        <r>
          <rPr>
            <sz val="11"/>
            <color theme="1"/>
            <rFont val="Calibri"/>
            <family val="2"/>
            <scheme val="minor"/>
          </rPr>
          <t>[Echantillon / contexte]
Secteur / industrie.</t>
        </r>
      </text>
    </comment>
    <comment ref="BC1" authorId="0" shapeId="0" xr:uid="{00000000-0006-0000-0000-000031000000}">
      <text>
        <r>
          <rPr>
            <sz val="11"/>
            <color theme="1"/>
            <rFont val="Calibri"/>
            <family val="2"/>
            <scheme val="minor"/>
          </rPr>
          <t>[Echantillon / contexte]
Type d'occupation.</t>
        </r>
      </text>
    </comment>
    <comment ref="BD1" authorId="0" shapeId="0" xr:uid="{00000000-0006-0000-0000-000032000000}">
      <text>
        <r>
          <rPr>
            <sz val="11"/>
            <color theme="1"/>
            <rFont val="Calibri"/>
            <family val="2"/>
            <scheme val="minor"/>
          </rPr>
          <t>[Echantillon / contexte]
Niveau de developpement.</t>
        </r>
      </text>
    </comment>
    <comment ref="BE1" authorId="0" shapeId="0" xr:uid="{00000000-0006-0000-0000-000033000000}">
      <text>
        <r>
          <rPr>
            <sz val="11"/>
            <color theme="1"/>
            <rFont val="Calibri"/>
            <family val="2"/>
            <scheme val="minor"/>
          </rPr>
          <t>[Echantillon / contexte]
Urbain / rural.</t>
        </r>
      </text>
    </comment>
    <comment ref="BF1" authorId="0" shapeId="0" xr:uid="{00000000-0006-0000-0000-000034000000}">
      <text>
        <r>
          <rPr>
            <sz val="11"/>
            <color theme="1"/>
            <rFont val="Calibri"/>
            <family val="2"/>
            <scheme val="minor"/>
          </rPr>
          <t>[Echantillon / contexte]
Age moyen (si utilise).</t>
        </r>
      </text>
    </comment>
    <comment ref="BG1" authorId="0" shapeId="0" xr:uid="{00000000-0006-0000-0000-000035000000}">
      <text>
        <r>
          <rPr>
            <sz val="11"/>
            <color theme="1"/>
            <rFont val="Calibri"/>
            <family val="2"/>
            <scheme val="minor"/>
          </rPr>
          <t>[Echantillon / contexte]
% de femmes (si utilise).</t>
        </r>
      </text>
    </comment>
    <comment ref="BH1" authorId="0" shapeId="0" xr:uid="{00000000-0006-0000-0000-000036000000}">
      <text>
        <r>
          <rPr>
            <sz val="11"/>
            <color theme="1"/>
            <rFont val="Calibri"/>
            <family val="2"/>
            <scheme val="minor"/>
          </rPr>
          <t>[Echantillon / contexte]
Annee de debut des donnees.</t>
        </r>
      </text>
    </comment>
    <comment ref="BI1" authorId="0" shapeId="0" xr:uid="{00000000-0006-0000-0000-000037000000}">
      <text>
        <r>
          <rPr>
            <sz val="11"/>
            <color theme="1"/>
            <rFont val="Calibri"/>
            <family val="2"/>
            <scheme val="minor"/>
          </rPr>
          <t>[Echantillon / contexte]
Annee de fin des donnees.</t>
        </r>
      </text>
    </comment>
    <comment ref="BJ1" authorId="0" shapeId="0" xr:uid="{00000000-0006-0000-0000-000038000000}">
      <text>
        <r>
          <rPr>
            <sz val="11"/>
            <color theme="1"/>
            <rFont val="Calibri"/>
            <family val="2"/>
            <scheme val="minor"/>
          </rPr>
          <t>[Echantillon / contexte]
Frequence des donnees.</t>
        </r>
      </text>
    </comment>
    <comment ref="BK1" authorId="0" shapeId="0" xr:uid="{00000000-0006-0000-0000-000039000000}">
      <text>
        <r>
          <rPr>
            <sz val="11"/>
            <color theme="1"/>
            <rFont val="Calibri"/>
            <family val="2"/>
            <scheme val="minor"/>
          </rPr>
          <t>[Identification &amp; econometrie]
Structure des donnees.</t>
        </r>
      </text>
    </comment>
    <comment ref="BL1" authorId="0" shapeId="0" xr:uid="{00000000-0006-0000-0000-00003A000000}">
      <text>
        <r>
          <rPr>
            <sz val="11"/>
            <color theme="1"/>
            <rFont val="Calibri"/>
            <family val="2"/>
            <scheme val="minor"/>
          </rPr>
          <t>[Identification &amp; econometrie]
Strategie d'identification.</t>
        </r>
      </text>
    </comment>
    <comment ref="BM1" authorId="0" shapeId="0" xr:uid="{00000000-0006-0000-0000-00003B000000}">
      <text>
        <r>
          <rPr>
            <sz val="11"/>
            <color theme="1"/>
            <rFont val="Calibri"/>
            <family val="2"/>
            <scheme val="minor"/>
          </rPr>
          <t>[Identification &amp; econometrie]
Endogeneite traitee ?</t>
        </r>
      </text>
    </comment>
    <comment ref="BN1" authorId="0" shapeId="0" xr:uid="{00000000-0006-0000-0000-00003C000000}">
      <text>
        <r>
          <rPr>
            <sz val="11"/>
            <color theme="1"/>
            <rFont val="Calibri"/>
            <family val="2"/>
            <scheme val="minor"/>
          </rPr>
          <t>[Identification &amp; econometrie]
Instrument utilise ?</t>
        </r>
      </text>
    </comment>
    <comment ref="BO1" authorId="0" shapeId="0" xr:uid="{00000000-0006-0000-0000-00003D000000}">
      <text>
        <r>
          <rPr>
            <sz val="11"/>
            <color theme="1"/>
            <rFont val="Calibri"/>
            <family val="2"/>
            <scheme val="minor"/>
          </rPr>
          <t>[Identification &amp; econometrie]
Type d'instrument (vent, inversion, distance...).</t>
        </r>
      </text>
    </comment>
    <comment ref="BP1" authorId="0" shapeId="0" xr:uid="{00000000-0006-0000-0000-00003E000000}">
      <text>
        <r>
          <rPr>
            <sz val="11"/>
            <color theme="1"/>
            <rFont val="Calibri"/>
            <family val="2"/>
            <scheme val="minor"/>
          </rPr>
          <t>[Identification &amp; econometrie]
Effets fixes inclus (individu, firme, temps, lieu).</t>
        </r>
      </text>
    </comment>
    <comment ref="BQ1" authorId="0" shapeId="0" xr:uid="{00000000-0006-0000-0000-00003F000000}">
      <text>
        <r>
          <rPr>
            <sz val="11"/>
            <color theme="1"/>
            <rFont val="Calibri"/>
            <family val="2"/>
            <scheme val="minor"/>
          </rPr>
          <t>[Identification &amp; econometrie]
Controle meteo present ? (binaire) CONFONDEUR CRITIQUE.</t>
        </r>
      </text>
    </comment>
    <comment ref="BR1" authorId="0" shapeId="0" xr:uid="{00000000-0006-0000-0000-000040000000}">
      <text>
        <r>
          <rPr>
            <sz val="11"/>
            <color theme="1"/>
            <rFont val="Calibri"/>
            <family val="2"/>
            <scheme val="minor"/>
          </rPr>
          <t>[Identification &amp; econometrie]
Type de controle meteo.</t>
        </r>
      </text>
    </comment>
    <comment ref="BS1" authorId="0" shapeId="0" xr:uid="{00000000-0006-0000-0000-000041000000}">
      <text>
        <r>
          <rPr>
            <sz val="11"/>
            <color theme="1"/>
            <rFont val="Calibri"/>
            <family val="2"/>
            <scheme val="minor"/>
          </rPr>
          <t>[Identification &amp; econometrie]
Controle d'autres polluants ? (binaire)</t>
        </r>
      </text>
    </comment>
    <comment ref="BT1" authorId="0" shapeId="0" xr:uid="{00000000-0006-0000-0000-000042000000}">
      <text>
        <r>
          <rPr>
            <sz val="11"/>
            <color theme="1"/>
            <rFont val="Calibri"/>
            <family val="2"/>
            <scheme val="minor"/>
          </rPr>
          <t>[Identification &amp; econometrie]
Etendue du controle multi-polluants.</t>
        </r>
      </text>
    </comment>
    <comment ref="BU1" authorId="0" shapeId="0" xr:uid="{00000000-0006-0000-0000-000043000000}">
      <text>
        <r>
          <rPr>
            <sz val="11"/>
            <color theme="1"/>
            <rFont val="Calibri"/>
            <family val="2"/>
            <scheme val="minor"/>
          </rPr>
          <t>[Identification &amp; econometrie]
Selection dans la presence controlee ? (point de He et al.)</t>
        </r>
      </text>
    </comment>
    <comment ref="BV1" authorId="0" shapeId="0" xr:uid="{00000000-0006-0000-0000-000044000000}">
      <text>
        <r>
          <rPr>
            <sz val="11"/>
            <color theme="1"/>
            <rFont val="Calibri"/>
            <family val="2"/>
            <scheme val="minor"/>
          </rPr>
          <t>[Identification &amp; econometrie]
Niveau de clustering des erreurs-types.</t>
        </r>
      </text>
    </comment>
    <comment ref="BW1" authorId="0" shapeId="0" xr:uid="{00000000-0006-0000-0000-000045000000}">
      <text>
        <r>
          <rPr>
            <sz val="11"/>
            <color theme="1"/>
            <rFont val="Calibri"/>
            <family val="2"/>
            <scheme val="minor"/>
          </rPr>
          <t>[Identification &amp; econometrie]
Forme fonctionnelle.</t>
        </r>
      </text>
    </comment>
    <comment ref="BX1" authorId="0" shapeId="0" xr:uid="{00000000-0006-0000-0000-000046000000}">
      <text>
        <r>
          <rPr>
            <sz val="11"/>
            <color theme="1"/>
            <rFont val="Calibri"/>
            <family val="2"/>
            <scheme val="minor"/>
          </rPr>
          <t>[Mecanique meta-regression]
Nombre d'estimations tirees de l'etude (ponderation/clustering).</t>
        </r>
      </text>
    </comment>
    <comment ref="BY1" authorId="0" shapeId="0" xr:uid="{00000000-0006-0000-0000-000047000000}">
      <text>
        <r>
          <rPr>
            <sz val="11"/>
            <color theme="1"/>
            <rFont val="Calibri"/>
            <family val="2"/>
            <scheme val="minor"/>
          </rPr>
          <t>[Mecanique meta-regression]
Specification preferee de l'auteur ?</t>
        </r>
      </text>
    </comment>
    <comment ref="BZ1" authorId="0" shapeId="0" xr:uid="{00000000-0006-0000-0000-000048000000}">
      <text>
        <r>
          <rPr>
            <sz val="11"/>
            <color theme="1"/>
            <rFont val="Calibri"/>
            <family val="2"/>
            <scheme val="minor"/>
          </rPr>
          <t>[Mecanique meta-regression]
Specification de base ou de robustesse.</t>
        </r>
      </text>
    </comment>
    <comment ref="CA1" authorId="0" shapeId="0" xr:uid="{00000000-0006-0000-0000-000049000000}">
      <text>
        <r>
          <rPr>
            <sz val="11"/>
            <color theme="1"/>
            <rFont val="Calibri"/>
            <family val="2"/>
            <scheme val="minor"/>
          </rPr>
          <t>[Mecanique meta-regression]
Origine de l'extraction.</t>
        </r>
      </text>
    </comment>
    <comment ref="CB1" authorId="0" shapeId="0" xr:uid="{00000000-0006-0000-0000-00004A000000}">
      <text>
        <r>
          <rPr>
            <sz val="11"/>
            <color theme="1"/>
            <rFont val="Calibri"/>
            <family val="2"/>
            <scheme val="minor"/>
          </rPr>
          <t>[Tracabilite codage]
Qui a code (fiabilite inter-codeurs).</t>
        </r>
      </text>
    </comment>
    <comment ref="CC1" authorId="0" shapeId="0" xr:uid="{00000000-0006-0000-0000-00004B000000}">
      <text>
        <r>
          <rPr>
            <sz val="11"/>
            <color theme="1"/>
            <rFont val="Calibri"/>
            <family val="2"/>
            <scheme val="minor"/>
          </rPr>
          <t>[Tracabilite codage]
Date de codage.</t>
        </r>
      </text>
    </comment>
    <comment ref="CD1" authorId="0" shapeId="0" xr:uid="{00000000-0006-0000-0000-00004C000000}">
      <text>
        <r>
          <rPr>
            <sz val="11"/>
            <color theme="1"/>
            <rFont val="Calibri"/>
            <family val="2"/>
            <scheme val="minor"/>
          </rPr>
          <t>[Tracabilite codage]
Double-code ?</t>
        </r>
      </text>
    </comment>
    <comment ref="CE1" authorId="0" shapeId="0" xr:uid="{00000000-0006-0000-0000-00004D000000}">
      <text>
        <r>
          <rPr>
            <sz val="11"/>
            <color theme="1"/>
            <rFont val="Calibri"/>
            <family val="2"/>
            <scheme val="minor"/>
          </rPr>
          <t>[Tracabilite codage]
Notes / ambiguites / decisions.</t>
        </r>
      </text>
    </comment>
  </commentList>
</comments>
</file>

<file path=xl/sharedStrings.xml><?xml version="1.0" encoding="utf-8"?>
<sst xmlns="http://schemas.openxmlformats.org/spreadsheetml/2006/main" count="3806" uniqueCount="387">
  <si>
    <t>study_id</t>
  </si>
  <si>
    <t>estimate_id</t>
  </si>
  <si>
    <t>authors</t>
  </si>
  <si>
    <t>pub_year</t>
  </si>
  <si>
    <t>title</t>
  </si>
  <si>
    <t>outlet</t>
  </si>
  <si>
    <t>pub_status</t>
  </si>
  <si>
    <t>peer_reviewed</t>
  </si>
  <si>
    <t>data_country</t>
  </si>
  <si>
    <t>source_db</t>
  </si>
  <si>
    <t>n_citations</t>
  </si>
  <si>
    <t>effect_type_raw</t>
  </si>
  <si>
    <t>effect_raw</t>
  </si>
  <si>
    <t>se_raw</t>
  </si>
  <si>
    <t>t_stat</t>
  </si>
  <si>
    <t>p_value</t>
  </si>
  <si>
    <t>ci_low</t>
  </si>
  <si>
    <t>ci_high</t>
  </si>
  <si>
    <t>n_obs</t>
  </si>
  <si>
    <t>dof</t>
  </si>
  <si>
    <t>se_source</t>
  </si>
  <si>
    <t>effect_transformed</t>
  </si>
  <si>
    <t>se_transformed</t>
  </si>
  <si>
    <t>sign_reoriented</t>
  </si>
  <si>
    <t>pollutant</t>
  </si>
  <si>
    <t>pollutant_unit</t>
  </si>
  <si>
    <t>poll_mean</t>
  </si>
  <si>
    <t>poll_sd</t>
  </si>
  <si>
    <t>poll_min</t>
  </si>
  <si>
    <t>poll_max</t>
  </si>
  <si>
    <t>exposure_measure</t>
  </si>
  <si>
    <t>exposure_assignment</t>
  </si>
  <si>
    <t>indoor_outdoor</t>
  </si>
  <si>
    <t>effect_timing</t>
  </si>
  <si>
    <t>lag_min_days</t>
  </si>
  <si>
    <t>lag_max_days</t>
  </si>
  <si>
    <t>outcome_type</t>
  </si>
  <si>
    <t>margin</t>
  </si>
  <si>
    <t>task_type</t>
  </si>
  <si>
    <t>skill_level</t>
  </si>
  <si>
    <t>outcome_unit</t>
  </si>
  <si>
    <t>outcome_mean</t>
  </si>
  <si>
    <t>outcome_sd</t>
  </si>
  <si>
    <t>outcome_min</t>
  </si>
  <si>
    <t>outcome_max</t>
  </si>
  <si>
    <t>outcome_objective</t>
  </si>
  <si>
    <t>outcome_level</t>
  </si>
  <si>
    <t>sector</t>
  </si>
  <si>
    <t>occupation</t>
  </si>
  <si>
    <t>development</t>
  </si>
  <si>
    <t>urban_rural</t>
  </si>
  <si>
    <t>age_mean</t>
  </si>
  <si>
    <t>pct_female</t>
  </si>
  <si>
    <t>data_start</t>
  </si>
  <si>
    <t>data_end</t>
  </si>
  <si>
    <t>data_frequency</t>
  </si>
  <si>
    <t>data_structure</t>
  </si>
  <si>
    <t>id_strategy</t>
  </si>
  <si>
    <t>endogeneity_addressed</t>
  </si>
  <si>
    <t>instrument_used</t>
  </si>
  <si>
    <t>instrument_type</t>
  </si>
  <si>
    <t>fixed_effects</t>
  </si>
  <si>
    <t>controls_weather</t>
  </si>
  <si>
    <t>controls_weather_type</t>
  </si>
  <si>
    <t>controls_multipollutant</t>
  </si>
  <si>
    <t>controls_multipollutant_type</t>
  </si>
  <si>
    <t>controls_attendance_selection</t>
  </si>
  <si>
    <t>se_clustering</t>
  </si>
  <si>
    <t>functional_form</t>
  </si>
  <si>
    <t>n_estimates_in_study</t>
  </si>
  <si>
    <t>author_preferred</t>
  </si>
  <si>
    <t>baseline_or_robustness</t>
  </si>
  <si>
    <t>extract_origin</t>
  </si>
  <si>
    <t>coder</t>
  </si>
  <si>
    <t>coding_date</t>
  </si>
  <si>
    <t>double_coded</t>
  </si>
  <si>
    <t>notes</t>
  </si>
  <si>
    <t>MODIFIER ICI les valeurs des menus deroulants. Ajoute/retire une valeur dans la colonne voulue (jusqu'a la ligne 32). Les menus de la feuille Extraction se mettent a jour automatiquement.</t>
  </si>
  <si>
    <t>published</t>
  </si>
  <si>
    <t>Scopus</t>
  </si>
  <si>
    <t>elasticity</t>
  </si>
  <si>
    <t>reported_SE</t>
  </si>
  <si>
    <t>PM2.5</t>
  </si>
  <si>
    <t>fixed_station</t>
  </si>
  <si>
    <t>individual</t>
  </si>
  <si>
    <t>indoor</t>
  </si>
  <si>
    <t>short_run</t>
  </si>
  <si>
    <t>physical_output</t>
  </si>
  <si>
    <t>intensive</t>
  </si>
  <si>
    <t>physical</t>
  </si>
  <si>
    <t>low</t>
  </si>
  <si>
    <t>objective</t>
  </si>
  <si>
    <t>OECD</t>
  </si>
  <si>
    <t>urban</t>
  </si>
  <si>
    <t>daily</t>
  </si>
  <si>
    <t>panel</t>
  </si>
  <si>
    <t>OLS</t>
  </si>
  <si>
    <t>none</t>
  </si>
  <si>
    <t>linear</t>
  </si>
  <si>
    <t>baseline</t>
  </si>
  <si>
    <t>table</t>
  </si>
  <si>
    <t>Valentin</t>
  </si>
  <si>
    <t>working_paper</t>
  </si>
  <si>
    <t>WoS</t>
  </si>
  <si>
    <t>semi_elasticity</t>
  </si>
  <si>
    <t>from_t</t>
  </si>
  <si>
    <t>PM10</t>
  </si>
  <si>
    <t>satellite</t>
  </si>
  <si>
    <t>workplace</t>
  </si>
  <si>
    <t>outdoor</t>
  </si>
  <si>
    <t>long_run</t>
  </si>
  <si>
    <t>cognitive_performance</t>
  </si>
  <si>
    <t>extensive</t>
  </si>
  <si>
    <t>cognitive</t>
  </si>
  <si>
    <t>high</t>
  </si>
  <si>
    <t>self_reported</t>
  </si>
  <si>
    <t>firm</t>
  </si>
  <si>
    <t>non_OECD</t>
  </si>
  <si>
    <t>rural</t>
  </si>
  <si>
    <t>weekly</t>
  </si>
  <si>
    <t>cross_section</t>
  </si>
  <si>
    <t>temperature</t>
  </si>
  <si>
    <t>single_other</t>
  </si>
  <si>
    <t>log_log</t>
  </si>
  <si>
    <t>robustness</t>
  </si>
  <si>
    <t>text</t>
  </si>
  <si>
    <t>Clara</t>
  </si>
  <si>
    <t>thesis</t>
  </si>
  <si>
    <t>EconLit</t>
  </si>
  <si>
    <t>marginal_effect</t>
  </si>
  <si>
    <t>from_CI</t>
  </si>
  <si>
    <t>NO2</t>
  </si>
  <si>
    <t>personal_sensor</t>
  </si>
  <si>
    <t>city_region</t>
  </si>
  <si>
    <t>mixed</t>
  </si>
  <si>
    <t>both</t>
  </si>
  <si>
    <t>error_rate</t>
  </si>
  <si>
    <t>aggregate</t>
  </si>
  <si>
    <t>monthly</t>
  </si>
  <si>
    <t>RCT</t>
  </si>
  <si>
    <t>IV_2SLS</t>
  </si>
  <si>
    <t>temp_humidity</t>
  </si>
  <si>
    <t>multiple</t>
  </si>
  <si>
    <t>quadratic</t>
  </si>
  <si>
    <t>report</t>
  </si>
  <si>
    <t>OpenAlex</t>
  </si>
  <si>
    <t>standardized_coef</t>
  </si>
  <si>
    <t>from_p</t>
  </si>
  <si>
    <t>O3</t>
  </si>
  <si>
    <t>interpolated_model</t>
  </si>
  <si>
    <t>labor_supply</t>
  </si>
  <si>
    <t>annual</t>
  </si>
  <si>
    <t>time_series</t>
  </si>
  <si>
    <t>RD</t>
  </si>
  <si>
    <t>full_weather</t>
  </si>
  <si>
    <t>threshold</t>
  </si>
  <si>
    <t>conference</t>
  </si>
  <si>
    <t>other</t>
  </si>
  <si>
    <t>correlation</t>
  </si>
  <si>
    <t>SO2</t>
  </si>
  <si>
    <t>sales_revenue</t>
  </si>
  <si>
    <t>DiD</t>
  </si>
  <si>
    <t>CO</t>
  </si>
  <si>
    <t>AQI_composite</t>
  </si>
  <si>
    <t>UNITE D'OBSERVATION : une ligne = une ESTIMATION (pas un article). study_id relie les estimations d'un meme article.</t>
  </si>
  <si>
    <t>CONVENTION DE SIGNE : negatif = la pollution DEGRADE la productivite. Reorienter chaque estimation dans sign_reoriented.</t>
  </si>
  <si>
    <t>Pour editer les menus deroulants -&gt; feuille Listes. Pour editer une description au survol -&gt; clic droit sur l'en-tete (Extraction) &gt; Modifier la note.</t>
  </si>
  <si>
    <t>Variable</t>
  </si>
  <si>
    <t>Famille</t>
  </si>
  <si>
    <t>Description</t>
  </si>
  <si>
    <t>Type</t>
  </si>
  <si>
    <t>Valeurs autorisees / codage</t>
  </si>
  <si>
    <t>Identification</t>
  </si>
  <si>
    <t>Cle unique de l'article (ex. GraffZivin2012). Identique pour toutes les estimations d'un meme article.</t>
  </si>
  <si>
    <t>texte</t>
  </si>
  <si>
    <t>Cle unique de CETTE ligne (ex. GraffZivin2012_01). Une ligne = une estimation.</t>
  </si>
  <si>
    <t>Auteurs.</t>
  </si>
  <si>
    <t>Annee de publication.</t>
  </si>
  <si>
    <t>entier</t>
  </si>
  <si>
    <t>Titre de l'article.</t>
  </si>
  <si>
    <t>Revue ou serie de working paper.</t>
  </si>
  <si>
    <t>liste (editable)</t>
  </si>
  <si>
    <t>published, working_paper, thesis, report, conference</t>
  </si>
  <si>
    <t>Revu par les pairs ?</t>
  </si>
  <si>
    <t>binaire 1/0</t>
  </si>
  <si>
    <t>1, 0</t>
  </si>
  <si>
    <t>Pays / region des donnees.</t>
  </si>
  <si>
    <t>Scopus, WoS, EconLit, OpenAlex, other</t>
  </si>
  <si>
    <t>Nombre de citations (proxy qualite, optionnel).</t>
  </si>
  <si>
    <t>Taille d'effet (obligatoire)</t>
  </si>
  <si>
    <t>Type d'effet tel que rapporte.</t>
  </si>
  <si>
    <t>elasticity, semi_elasticity, marginal_effect, standardized_coef, correlation, other</t>
  </si>
  <si>
    <t>Estimation ponctuelle BRUTE, telle que rapportee.</t>
  </si>
  <si>
    <t>nombre</t>
  </si>
  <si>
    <t>t-statistique (pour reconstruire le SE s'il manque).</t>
  </si>
  <si>
    <t>p-value (secours pour le SE).</t>
  </si>
  <si>
    <t>Borne basse de l'IC.</t>
  </si>
  <si>
    <t>Borne haute de l'IC.</t>
  </si>
  <si>
    <t>Taille d'echantillon N.</t>
  </si>
  <si>
    <t>Degres de liberte.</t>
  </si>
  <si>
    <t>Comment le SE a ete obtenu. Hierarchie: SE direct &gt; via t &gt; via IC &gt; via p.</t>
  </si>
  <si>
    <t>reported_SE, from_t, from_CI, from_p</t>
  </si>
  <si>
    <t>Taille d'effet TRANSFORMEE (PCC ou elasticite standardisee) = ce qu'on pool.</t>
  </si>
  <si>
    <t>SE correspondant a l'effet transforme.</t>
  </si>
  <si>
    <t>Effet reoriente: NEGATIF = la pollution degrade la productivite.</t>
  </si>
  <si>
    <t>Pollution / exposition</t>
  </si>
  <si>
    <t>Type de polluant.</t>
  </si>
  <si>
    <t>PM2.5, PM10, NO2, O3, SO2, CO, AQI_composite, multiple, other</t>
  </si>
  <si>
    <t>Unite (ug/m3, ppb, indice...).</t>
  </si>
  <si>
    <t>Moyenne du polluant dans l'echantillon.</t>
  </si>
  <si>
    <t>Ecart-type du polluant.</t>
  </si>
  <si>
    <t>Minimum du polluant.</t>
  </si>
  <si>
    <t>Maximum du polluant.</t>
  </si>
  <si>
    <t>Methode de mesure de l'exposition.</t>
  </si>
  <si>
    <t>fixed_station, satellite, personal_sensor, interpolated_model, other</t>
  </si>
  <si>
    <t>Niveau d'assignation de l'exposition.</t>
  </si>
  <si>
    <t>individual, workplace, city_region</t>
  </si>
  <si>
    <t>indoor, outdoor, mixed</t>
  </si>
  <si>
    <t>Horizon de l'effet: short_run (jour meme) / long_run (cumule) / both. MODERATEUR PRINCIPAL. Version categorielle de lag_max_days.</t>
  </si>
  <si>
    <t>short_run, long_run, both</t>
  </si>
  <si>
    <t>Jour le plus RECENT inclus dans la fenetre d'exposition (presque toujours 0).</t>
  </si>
  <si>
    <t>Jour le plus ANCIEN remonte (0=jour meme, 30=cumul un mois, 365=un an). Version continue de effect_timing.</t>
  </si>
  <si>
    <t>Outcome / productivite</t>
  </si>
  <si>
    <t>Type d'outcome de productivite.</t>
  </si>
  <si>
    <t>physical_output, cognitive_performance, error_rate, labor_supply, sales_revenue, other</t>
  </si>
  <si>
    <t>intensive, extensive</t>
  </si>
  <si>
    <t>physical, cognitive, mixed</t>
  </si>
  <si>
    <t>Niveau de qualification des travailleurs.</t>
  </si>
  <si>
    <t>low, high, mixed</t>
  </si>
  <si>
    <t>Unite de mesure de l'outcome.</t>
  </si>
  <si>
    <t>Moyenne de l'outcome dans l'echantillon.</t>
  </si>
  <si>
    <t>Ecart-type de l'outcome.</t>
  </si>
  <si>
    <t>Minimum de l'outcome.</t>
  </si>
  <si>
    <t>Maximum de l'outcome.</t>
  </si>
  <si>
    <t>Objectif ou auto-declare.</t>
  </si>
  <si>
    <t>objective, self_reported</t>
  </si>
  <si>
    <t>Niveau d'observation de l'outcome.</t>
  </si>
  <si>
    <t>individual, firm, aggregate</t>
  </si>
  <si>
    <t>Echantillon / contexte</t>
  </si>
  <si>
    <t>Secteur / industrie.</t>
  </si>
  <si>
    <t>Type d'occupation.</t>
  </si>
  <si>
    <t>Niveau de developpement.</t>
  </si>
  <si>
    <t>OECD, non_OECD</t>
  </si>
  <si>
    <t>Urbain / rural.</t>
  </si>
  <si>
    <t>urban, rural, mixed</t>
  </si>
  <si>
    <t>Age moyen (si utilise).</t>
  </si>
  <si>
    <t>% de femmes (si utilise).</t>
  </si>
  <si>
    <t>Annee de debut des donnees.</t>
  </si>
  <si>
    <t>Annee de fin des donnees.</t>
  </si>
  <si>
    <t>Frequence des donnees.</t>
  </si>
  <si>
    <t>daily, weekly, monthly, annual, other</t>
  </si>
  <si>
    <t>Identification &amp; econometrie</t>
  </si>
  <si>
    <t>Structure des donnees.</t>
  </si>
  <si>
    <t>panel, cross_section, RCT, time_series</t>
  </si>
  <si>
    <t>Strategie d'identification.</t>
  </si>
  <si>
    <t>OLS, fixed_effects, IV_2SLS, RD, DiD, RCT, other</t>
  </si>
  <si>
    <t>Endogeneite traitee ?</t>
  </si>
  <si>
    <t>Instrument utilise ?</t>
  </si>
  <si>
    <t>Type d'instrument (vent, inversion, distance...).</t>
  </si>
  <si>
    <t>Effets fixes inclus (individu, firme, temps, lieu).</t>
  </si>
  <si>
    <t>Type de controle meteo.</t>
  </si>
  <si>
    <t>none, temperature, temp_humidity, full_weather</t>
  </si>
  <si>
    <t>Controle d'autres polluants ? (binaire)</t>
  </si>
  <si>
    <t>Etendue du controle multi-polluants.</t>
  </si>
  <si>
    <t>none, single_other, multiple</t>
  </si>
  <si>
    <t>Niveau de clustering des erreurs-types.</t>
  </si>
  <si>
    <t>Forme fonctionnelle.</t>
  </si>
  <si>
    <t>linear, log_log, quadratic, threshold, other</t>
  </si>
  <si>
    <t>Mecanique meta-regression</t>
  </si>
  <si>
    <t>Nombre d'estimations tirees de l'etude (ponderation/clustering).</t>
  </si>
  <si>
    <t>Specification preferee de l'auteur ?</t>
  </si>
  <si>
    <t>Specification de base ou de robustesse.</t>
  </si>
  <si>
    <t>baseline, robustness</t>
  </si>
  <si>
    <t>Origine de l'extraction.</t>
  </si>
  <si>
    <t>table, text</t>
  </si>
  <si>
    <t>Tracabilite codage</t>
  </si>
  <si>
    <t>Qui a code (fiabilite inter-codeurs).</t>
  </si>
  <si>
    <t>Valentin, Clara</t>
  </si>
  <si>
    <t>Date de codage.</t>
  </si>
  <si>
    <t>date</t>
  </si>
  <si>
    <t>Double-code ?</t>
  </si>
  <si>
    <t>Notes / ambiguites / decisions.</t>
  </si>
  <si>
    <t>Statut de publication.</t>
  </si>
  <si>
    <t>Base d'origine.</t>
  </si>
  <si>
    <t>Erreur-type BRUTE.</t>
  </si>
  <si>
    <t>Marge.</t>
  </si>
  <si>
    <t>Interieur / exterieur.</t>
  </si>
  <si>
    <t>Tache physique / cognitive.</t>
  </si>
  <si>
    <t>Selection dans la presence controlee ?</t>
  </si>
  <si>
    <t>Controle meteo present ?.</t>
  </si>
  <si>
    <t>textile</t>
  </si>
  <si>
    <t>China</t>
  </si>
  <si>
    <t>cases/worker/shift</t>
  </si>
  <si>
    <t>CNY/worker/shift</t>
  </si>
  <si>
    <t>HeEtAl2019</t>
  </si>
  <si>
    <t>HeEtAl2019_Jiangsu_ind_PM25_2SLS</t>
  </si>
  <si>
    <t>HeEtAl2019_Jiangsu_avg_PM25_OLS</t>
  </si>
  <si>
    <t>10 ug/m^3</t>
  </si>
  <si>
    <t>HeEtAl2019_Jiangsu_avg_SO2_OLS</t>
  </si>
  <si>
    <t>HeEtAl2019_Jiangsu_avg_PM25_2SLS</t>
  </si>
  <si>
    <t>HeEtAl2019_Jiangsu_avg_SO2_2SLS</t>
  </si>
  <si>
    <t>HeEtAl2019_Jiangsu_ind_PM25_OLS</t>
  </si>
  <si>
    <t>HeEtAl2019_Jiangsu_ind_SO2_OLS</t>
  </si>
  <si>
    <t>HeEtAl2019_Jiangsu_ind_SO2_2SLS</t>
  </si>
  <si>
    <t>thermal_inversion</t>
  </si>
  <si>
    <t>HeEtAl2019_Henan_avg_PM25_OLS</t>
  </si>
  <si>
    <t>HeEtAl2019_Henan_avg_SO2_OLS</t>
  </si>
  <si>
    <t>HeEtAl2019_Henan_avg_PM25_2SLS</t>
  </si>
  <si>
    <t>HeEtAl2019_Henan_avg_SO2_2SLS</t>
  </si>
  <si>
    <t>HeEtAl2019_Henan_ind_PM25_OLS</t>
  </si>
  <si>
    <t>HeEtAl2019_Henan_ind_SO2_OLS</t>
  </si>
  <si>
    <t>HeEtAl2019_Henan_ind_PM25_2SLS</t>
  </si>
  <si>
    <t>HeEtAl2019_Henan_ind_SO2_2SLS</t>
  </si>
  <si>
    <t>NA</t>
  </si>
  <si>
    <t>time</t>
  </si>
  <si>
    <t>worker, time</t>
  </si>
  <si>
    <t>machine_operator</t>
  </si>
  <si>
    <t>He, Liu, Salvo</t>
  </si>
  <si>
    <t>newey_west_30_day</t>
  </si>
  <si>
    <t>Severe Air Pollution and Labor Productivity: Evidence from Industrial Towns in China</t>
  </si>
  <si>
    <t>American Economic Journal: Applied Economics</t>
  </si>
  <si>
    <t>n_regressor</t>
  </si>
  <si>
    <t>se_pcc</t>
  </si>
  <si>
    <t>pcc</t>
  </si>
  <si>
    <t>elast_reoriented</t>
  </si>
  <si>
    <t>se_elasticity</t>
  </si>
  <si>
    <t>pcc_reoriented</t>
  </si>
  <si>
    <t>HeEtAl2019_Jiangsu_ind_PM25_2SLS_PDL_5</t>
  </si>
  <si>
    <t>HeEtAl2019_Jiangsu_ind_PM25_2SLS_PDL_10</t>
  </si>
  <si>
    <t>HeEtAl2019_Jiangsu_ind_PM25_2SLS_PDL_15</t>
  </si>
  <si>
    <t>HeEtAl2019_Jiangsu_ind_PM25_2SLS_PDL_20</t>
  </si>
  <si>
    <t>HeEtAl2019_Jiangsu_ind_PM25_2SLS_PDL_25</t>
  </si>
  <si>
    <t>HeEtAl2019_Jiangsu_ind_PM25_2SLS_PDL_30</t>
  </si>
  <si>
    <t>HeEtAl2019_Jiangsu_ind_SO2_2SLS_PDL_5</t>
  </si>
  <si>
    <t>HeEtAl2019_Jiangsu_ind_SO2_2SLS_PDL_10</t>
  </si>
  <si>
    <t>HeEtAl2019_Jiangsu_ind_SO2_2SLS_PDL_15</t>
  </si>
  <si>
    <t>HeEtAl2019_Jiangsu_ind_SO2_2SLS_PDL_20</t>
  </si>
  <si>
    <t>HeEtAl2019_Jiangsu_ind_SO2_2SLS_PDL_30</t>
  </si>
  <si>
    <t>HeEtAl2019_Jiangsu_ind_SO2_2SLS_PDL_25</t>
  </si>
  <si>
    <t>HeEtAl2019_Henan_ind_PM25_2SLS_PDL_5</t>
  </si>
  <si>
    <t>HeEtAl2019_Henan_ind_PM25_2SLS_PDL_10</t>
  </si>
  <si>
    <t>HeEtAl2019_Henan_ind_PM25_2SLS_PDL_15</t>
  </si>
  <si>
    <t>HeEtAl2019_Henan_ind_PM25_2SLS_PDL_20</t>
  </si>
  <si>
    <t>HeEtAl2019_Henan_ind_PM25_2SLS_PDL_25</t>
  </si>
  <si>
    <t>HeEtAl2019_Henan_ind_PM25_2SLS_PDL_30</t>
  </si>
  <si>
    <t>HeEtAl2019_Henan_ind_SO2_2SLS_PDL_5</t>
  </si>
  <si>
    <t>HeEtAl2019_Henan_ind_SO2_2SLS_PDL_10</t>
  </si>
  <si>
    <t>HeEtAl2019_Henan_ind_SO2_2SLS_PDL_15</t>
  </si>
  <si>
    <t>HeEtAl2019_Henan_ind_SO2_2SLS_PDL_20</t>
  </si>
  <si>
    <t>HeEtAl2019_Henan_ind_SO2_2SLS_PDL_25</t>
  </si>
  <si>
    <t>HeEtAl2019_Henan_ind_SO2_2SLS_PDL_30</t>
  </si>
  <si>
    <t>HeEtAl2019_Jiangsu_ind_PM25_OLS_PDL_5</t>
  </si>
  <si>
    <t>HeEtAl2019_Jiangsu_ind_PM25_OLS_PDL_10</t>
  </si>
  <si>
    <t>HeEtAl2019_Jiangsu_ind_PM25_OLS_PDL_15</t>
  </si>
  <si>
    <t>HeEtAl2019_Jiangsu_ind_PM25_OLS_PDL_20</t>
  </si>
  <si>
    <t>HeEtAl2019_Jiangsu_ind_PM25_OLS_PDL_25</t>
  </si>
  <si>
    <t>HeEtAl2019_Jiangsu_ind_PM25_OLS_PDL_30</t>
  </si>
  <si>
    <t>HeEtAl2019_Jiangsu_ind_SO2_OLS_PDL_5</t>
  </si>
  <si>
    <t>HeEtAl2019_Jiangsu_ind_SO2_OLS_PDL_10</t>
  </si>
  <si>
    <t>HeEtAl2019_Jiangsu_ind_SO2_OLS_PDL_15</t>
  </si>
  <si>
    <t>HeEtAl2019_Jiangsu_ind_SO2_OLS_PDL_20</t>
  </si>
  <si>
    <t>HeEtAl2019_Jiangsu_ind_SO2_OLS_PDL_25</t>
  </si>
  <si>
    <t>HeEtAl2019_Jiangsu_ind_SO2_OLS_PDL_30</t>
  </si>
  <si>
    <t>HeEtAl2019_Henan_ind_PM25_OLS_PDL_5</t>
  </si>
  <si>
    <t>HeEtAl2019_Henan_ind_PM25_OLS_PDL_10</t>
  </si>
  <si>
    <t>HeEtAl2019_Henan_ind_PM25_OLS_PDL_15</t>
  </si>
  <si>
    <t>HeEtAl2019_Henan_ind_PM25_OLS_PDL_20</t>
  </si>
  <si>
    <t>HeEtAl2019_Henan_ind_PM25_OLS_PDL_25</t>
  </si>
  <si>
    <t>HeEtAl2019_Henan_ind_PM25_OLS_PDL_30</t>
  </si>
  <si>
    <t>HeEtAl2019_Henan_ind_SO2_OLS_PDL_5</t>
  </si>
  <si>
    <t>HeEtAl2019_Henan_ind_SO2_OLS_PDL_10</t>
  </si>
  <si>
    <t>HeEtAl2019_Henan_ind_SO2_OLS_PDL_15</t>
  </si>
  <si>
    <t>HeEtAl2019_Henan_ind_SO2_OLS_PDL_20</t>
  </si>
  <si>
    <t>HeEtAl2019_Henan_ind_SO2_OLS_PDL_25</t>
  </si>
  <si>
    <t>HeEtAl2019_Henan_ind_SO2_OLS_PDL_30</t>
  </si>
  <si>
    <t>sub_sector</t>
  </si>
  <si>
    <t>manufacture</t>
  </si>
  <si>
    <t>day + newey_west_30_day</t>
  </si>
  <si>
    <t>polynomial</t>
  </si>
  <si>
    <t>effect_scale</t>
  </si>
  <si>
    <t>effect scale</t>
  </si>
  <si>
    <t>level</t>
  </si>
  <si>
    <t>percent_of_mean</t>
  </si>
  <si>
    <t>level = effet en unités de l'outcome ; percent_of_mean = effet déjà en % de la moyenne</t>
  </si>
  <si>
    <t>level, percent_of_mean</t>
  </si>
  <si>
    <t>Table 4 : effet en % de l'output moyen (note de la table)</t>
  </si>
  <si>
    <t>Sous-secteur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</si>
</sst>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2" formatCode="0.00000000"/>
    <numFmt numFmtId="173" formatCode="0.0000000"/>
  </numFmts>
  <fonts count="14" x14ac:knownFonts="1">
    <font>
      <sz val="11"/>
      <color theme="1"/>
      <name val="Calibri"/>
      <family val="2"/>
      <scheme val="minor"/>
    </font>
    <font>
      <b/>
      <sz val="10"/>
      <color rgb="FFC00000"/>
      <name val="Arial"/>
    </font>
    <font>
      <b/>
      <sz val="9"/>
      <color rgb="FFFFFFFF"/>
      <name val="Arial"/>
    </font>
    <font>
      <sz val="9"/>
      <name val="Arial"/>
    </font>
    <font>
      <b/>
      <sz val="10"/>
      <color rgb="FF1F3864"/>
      <name val="Arial"/>
    </font>
    <font>
      <b/>
      <sz val="11"/>
      <color rgb="FFC00000"/>
      <name val="Arial"/>
    </font>
    <font>
      <i/>
      <sz val="9"/>
      <color rgb="FF404040"/>
      <name val="Arial"/>
    </font>
    <font>
      <b/>
      <sz val="10"/>
      <color rgb="FFFFFFFF"/>
      <name val="Arial"/>
    </font>
    <font>
      <b/>
      <sz val="9"/>
      <name val="Arial"/>
    </font>
    <font>
      <sz val="8"/>
      <name val="Calibri"/>
      <family val="2"/>
      <scheme val="minor"/>
    </font>
    <font>
      <b/>
      <sz val="10"/>
      <color rgb="FF1F3864"/>
      <name val="Arial"/>
      <family val="2"/>
    </font>
    <font>
      <sz val="9"/>
      <name val="Arial"/>
      <family val="2"/>
    </font>
    <font>
      <b/>
      <sz val="9"/>
      <color rgb="FFFFFFFF"/>
      <name val="Arial"/>
      <family val="2"/>
    </font>
    <font>
      <b/>
      <sz val="9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9E1F2"/>
      </patternFill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DDEBF7"/>
      </patternFill>
    </fill>
    <fill>
      <patternFill patternType="solid">
        <fgColor rgb="FFF8CBAD"/>
      </patternFill>
    </fill>
    <fill>
      <patternFill patternType="solid">
        <fgColor rgb="FFE4DFEC"/>
      </patternFill>
    </fill>
    <fill>
      <patternFill patternType="solid">
        <fgColor rgb="FFEDEDED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4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wrapText="1"/>
    </xf>
    <xf numFmtId="0" fontId="3" fillId="0" borderId="1" xfId="0" applyFont="1" applyBorder="1"/>
    <xf numFmtId="0" fontId="7" fillId="2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0" fontId="3" fillId="5" borderId="1" xfId="0" applyFont="1" applyFill="1" applyBorder="1" applyAlignment="1">
      <alignment vertical="top" wrapText="1"/>
    </xf>
    <xf numFmtId="0" fontId="3" fillId="6" borderId="1" xfId="0" applyFont="1" applyFill="1" applyBorder="1" applyAlignment="1">
      <alignment vertical="top" wrapText="1"/>
    </xf>
    <xf numFmtId="0" fontId="3" fillId="7" borderId="1" xfId="0" applyFont="1" applyFill="1" applyBorder="1" applyAlignment="1">
      <alignment vertical="top" wrapText="1"/>
    </xf>
    <xf numFmtId="0" fontId="3" fillId="8" borderId="1" xfId="0" applyFont="1" applyFill="1" applyBorder="1" applyAlignment="1">
      <alignment vertical="top" wrapText="1"/>
    </xf>
    <xf numFmtId="0" fontId="3" fillId="9" borderId="1" xfId="0" applyFont="1" applyFill="1" applyBorder="1" applyAlignment="1">
      <alignment vertical="top" wrapText="1"/>
    </xf>
    <xf numFmtId="0" fontId="3" fillId="10" borderId="1" xfId="0" applyFont="1" applyFill="1" applyBorder="1" applyAlignment="1">
      <alignment vertical="top" wrapText="1"/>
    </xf>
    <xf numFmtId="0" fontId="1" fillId="0" borderId="0" xfId="0" applyFont="1"/>
    <xf numFmtId="0" fontId="0" fillId="0" borderId="0" xfId="0"/>
    <xf numFmtId="0" fontId="5" fillId="0" borderId="0" xfId="0" applyFont="1"/>
    <xf numFmtId="0" fontId="6" fillId="0" borderId="0" xfId="0" applyFont="1"/>
    <xf numFmtId="0" fontId="3" fillId="0" borderId="2" xfId="0" applyFont="1" applyFill="1" applyBorder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4" fillId="3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left"/>
    </xf>
    <xf numFmtId="173" fontId="0" fillId="0" borderId="0" xfId="0" applyNumberFormat="1" applyAlignment="1">
      <alignment horizontal="center"/>
    </xf>
    <xf numFmtId="172" fontId="0" fillId="0" borderId="0" xfId="0" applyNumberFormat="1" applyAlignment="1">
      <alignment horizontal="center"/>
    </xf>
    <xf numFmtId="173" fontId="4" fillId="4" borderId="1" xfId="0" applyNumberFormat="1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1" fillId="0" borderId="2" xfId="0" applyFont="1" applyFill="1" applyBorder="1"/>
    <xf numFmtId="0" fontId="10" fillId="4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wrapText="1"/>
    </xf>
    <xf numFmtId="0" fontId="11" fillId="0" borderId="1" xfId="0" applyFont="1" applyBorder="1"/>
    <xf numFmtId="0" fontId="13" fillId="0" borderId="1" xfId="0" applyFont="1" applyBorder="1" applyAlignment="1">
      <alignment vertical="top" wrapText="1"/>
    </xf>
    <xf numFmtId="0" fontId="11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E67"/>
  <sheetViews>
    <sheetView tabSelected="1" zoomScale="94" workbookViewId="0">
      <pane xSplit="2" ySplit="1" topLeftCell="G2" activePane="bottomRight" state="frozen"/>
      <selection pane="topRight"/>
      <selection pane="bottomLeft"/>
      <selection pane="bottomRight" activeCell="M18" sqref="M18:M65"/>
    </sheetView>
  </sheetViews>
  <sheetFormatPr baseColWidth="10" defaultColWidth="8.88671875" defaultRowHeight="14.4" x14ac:dyDescent="0.3"/>
  <cols>
    <col min="1" max="1" width="12" style="30" customWidth="1"/>
    <col min="2" max="2" width="40.88671875" style="30" customWidth="1"/>
    <col min="3" max="3" width="16.33203125" style="27" customWidth="1"/>
    <col min="4" max="4" width="12" style="27" customWidth="1"/>
    <col min="5" max="5" width="82.44140625" style="30" customWidth="1"/>
    <col min="6" max="6" width="43" style="30" customWidth="1"/>
    <col min="7" max="7" width="14" style="27" customWidth="1"/>
    <col min="8" max="8" width="17" style="27" customWidth="1"/>
    <col min="9" max="9" width="16" style="27" customWidth="1"/>
    <col min="10" max="10" width="13" style="27" customWidth="1"/>
    <col min="11" max="11" width="15" style="27" customWidth="1"/>
    <col min="12" max="13" width="19" style="27" customWidth="1"/>
    <col min="14" max="14" width="14" style="27" customWidth="1"/>
    <col min="15" max="15" width="12" style="27" customWidth="1"/>
    <col min="16" max="16" width="17.88671875" style="27" customWidth="1"/>
    <col min="17" max="20" width="12" style="27" customWidth="1"/>
    <col min="21" max="21" width="14.33203125" style="27" customWidth="1"/>
    <col min="22" max="22" width="12" style="27" customWidth="1"/>
    <col min="23" max="25" width="17.88671875" style="27" customWidth="1"/>
    <col min="26" max="26" width="13" style="27" customWidth="1"/>
    <col min="27" max="27" width="22" style="27" customWidth="1"/>
    <col min="28" max="28" width="18" style="27" customWidth="1"/>
    <col min="29" max="29" width="19" style="27" customWidth="1"/>
    <col min="30" max="30" width="13" style="27" customWidth="1"/>
    <col min="31" max="31" width="18" style="27" customWidth="1"/>
    <col min="32" max="32" width="13" style="27" customWidth="1"/>
    <col min="33" max="35" width="12" style="27" customWidth="1"/>
    <col min="36" max="36" width="20" style="27" customWidth="1"/>
    <col min="37" max="37" width="23" style="27" customWidth="1"/>
    <col min="38" max="38" width="18" style="27" customWidth="1"/>
    <col min="39" max="39" width="17" style="27" customWidth="1"/>
    <col min="40" max="42" width="16" style="27" customWidth="1"/>
    <col min="43" max="43" width="12" style="27" customWidth="1"/>
    <col min="44" max="44" width="13" style="27" customWidth="1"/>
    <col min="45" max="45" width="15" style="27" customWidth="1"/>
    <col min="46" max="46" width="23.109375" style="27" customWidth="1"/>
    <col min="47" max="47" width="16" style="27" customWidth="1"/>
    <col min="48" max="48" width="14" style="27" customWidth="1"/>
    <col min="49" max="50" width="15" style="27" customWidth="1"/>
    <col min="51" max="51" width="21" style="27" customWidth="1"/>
    <col min="52" max="52" width="17" style="27" customWidth="1"/>
    <col min="53" max="53" width="16.77734375" style="27" customWidth="1"/>
    <col min="54" max="54" width="12" style="27" customWidth="1"/>
    <col min="55" max="55" width="18.77734375" style="27" customWidth="1"/>
    <col min="56" max="57" width="15" style="27" customWidth="1"/>
    <col min="58" max="58" width="12" style="27" customWidth="1"/>
    <col min="59" max="60" width="14" style="27" customWidth="1"/>
    <col min="61" max="61" width="12" style="27" customWidth="1"/>
    <col min="62" max="63" width="18" style="27" customWidth="1"/>
    <col min="64" max="64" width="15" style="27" customWidth="1"/>
    <col min="65" max="65" width="24" style="27" customWidth="1"/>
    <col min="66" max="67" width="19" style="27" customWidth="1"/>
    <col min="68" max="68" width="17" style="27" customWidth="1"/>
    <col min="69" max="69" width="20" style="27" customWidth="1"/>
    <col min="70" max="73" width="24" style="27" customWidth="1"/>
    <col min="74" max="74" width="25.88671875" style="27" customWidth="1"/>
    <col min="75" max="75" width="19" style="27" customWidth="1"/>
    <col min="76" max="76" width="24" style="27" customWidth="1"/>
    <col min="77" max="77" width="20" style="27" customWidth="1"/>
    <col min="78" max="78" width="24" style="27" customWidth="1"/>
    <col min="79" max="79" width="18" style="27" customWidth="1"/>
    <col min="80" max="80" width="18.109375" style="27" customWidth="1"/>
    <col min="81" max="81" width="15" style="27" customWidth="1"/>
    <col min="82" max="82" width="16" style="27" customWidth="1"/>
    <col min="83" max="83" width="53.88671875" style="27" customWidth="1"/>
    <col min="84" max="16384" width="8.88671875" style="27"/>
  </cols>
  <sheetData>
    <row r="1" spans="1:83" ht="40.049999999999997" customHeight="1" x14ac:dyDescent="0.3">
      <c r="A1" s="29" t="s">
        <v>0</v>
      </c>
      <c r="B1" s="29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36" t="s">
        <v>379</v>
      </c>
      <c r="N1" s="2" t="s">
        <v>12</v>
      </c>
      <c r="O1" s="2" t="s">
        <v>13</v>
      </c>
      <c r="P1" s="33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321</v>
      </c>
      <c r="V1" s="2" t="s">
        <v>19</v>
      </c>
      <c r="W1" s="2" t="s">
        <v>323</v>
      </c>
      <c r="X1" s="2" t="s">
        <v>322</v>
      </c>
      <c r="Y1" s="2" t="s">
        <v>326</v>
      </c>
      <c r="Z1" s="2" t="s">
        <v>20</v>
      </c>
      <c r="AA1" s="2" t="s">
        <v>80</v>
      </c>
      <c r="AB1" s="2" t="s">
        <v>325</v>
      </c>
      <c r="AC1" s="2" t="s">
        <v>324</v>
      </c>
      <c r="AD1" s="3" t="s">
        <v>24</v>
      </c>
      <c r="AE1" s="3" t="s">
        <v>25</v>
      </c>
      <c r="AF1" s="3" t="s">
        <v>26</v>
      </c>
      <c r="AG1" s="3" t="s">
        <v>27</v>
      </c>
      <c r="AH1" s="3" t="s">
        <v>28</v>
      </c>
      <c r="AI1" s="3" t="s">
        <v>29</v>
      </c>
      <c r="AJ1" s="3" t="s">
        <v>30</v>
      </c>
      <c r="AK1" s="3" t="s">
        <v>31</v>
      </c>
      <c r="AL1" s="3" t="s">
        <v>32</v>
      </c>
      <c r="AM1" s="3" t="s">
        <v>33</v>
      </c>
      <c r="AN1" s="3" t="s">
        <v>34</v>
      </c>
      <c r="AO1" s="3" t="s">
        <v>35</v>
      </c>
      <c r="AP1" s="4" t="s">
        <v>36</v>
      </c>
      <c r="AQ1" s="4" t="s">
        <v>37</v>
      </c>
      <c r="AR1" s="4" t="s">
        <v>38</v>
      </c>
      <c r="AS1" s="4" t="s">
        <v>39</v>
      </c>
      <c r="AT1" s="4" t="s">
        <v>40</v>
      </c>
      <c r="AU1" s="4" t="s">
        <v>41</v>
      </c>
      <c r="AV1" s="4" t="s">
        <v>42</v>
      </c>
      <c r="AW1" s="4" t="s">
        <v>43</v>
      </c>
      <c r="AX1" s="4" t="s">
        <v>44</v>
      </c>
      <c r="AY1" s="4" t="s">
        <v>45</v>
      </c>
      <c r="AZ1" s="4" t="s">
        <v>46</v>
      </c>
      <c r="BA1" s="34" t="s">
        <v>47</v>
      </c>
      <c r="BB1" s="34" t="s">
        <v>375</v>
      </c>
      <c r="BC1" s="5" t="s">
        <v>48</v>
      </c>
      <c r="BD1" s="5" t="s">
        <v>49</v>
      </c>
      <c r="BE1" s="5" t="s">
        <v>50</v>
      </c>
      <c r="BF1" s="5" t="s">
        <v>51</v>
      </c>
      <c r="BG1" s="5" t="s">
        <v>52</v>
      </c>
      <c r="BH1" s="5" t="s">
        <v>53</v>
      </c>
      <c r="BI1" s="5" t="s">
        <v>54</v>
      </c>
      <c r="BJ1" s="5" t="s">
        <v>55</v>
      </c>
      <c r="BK1" s="6" t="s">
        <v>56</v>
      </c>
      <c r="BL1" s="6" t="s">
        <v>57</v>
      </c>
      <c r="BM1" s="6" t="s">
        <v>58</v>
      </c>
      <c r="BN1" s="6" t="s">
        <v>59</v>
      </c>
      <c r="BO1" s="6" t="s">
        <v>60</v>
      </c>
      <c r="BP1" s="6" t="s">
        <v>61</v>
      </c>
      <c r="BQ1" s="6" t="s">
        <v>62</v>
      </c>
      <c r="BR1" s="6" t="s">
        <v>63</v>
      </c>
      <c r="BS1" s="6" t="s">
        <v>64</v>
      </c>
      <c r="BT1" s="6" t="s">
        <v>65</v>
      </c>
      <c r="BU1" s="6" t="s">
        <v>66</v>
      </c>
      <c r="BV1" s="6" t="s">
        <v>67</v>
      </c>
      <c r="BW1" s="6" t="s">
        <v>68</v>
      </c>
      <c r="BX1" s="7" t="s">
        <v>69</v>
      </c>
      <c r="BY1" s="7" t="s">
        <v>70</v>
      </c>
      <c r="BZ1" s="7" t="s">
        <v>71</v>
      </c>
      <c r="CA1" s="7" t="s">
        <v>72</v>
      </c>
      <c r="CB1" s="8" t="s">
        <v>73</v>
      </c>
      <c r="CC1" s="8" t="s">
        <v>74</v>
      </c>
      <c r="CD1" s="8" t="s">
        <v>75</v>
      </c>
      <c r="CE1" s="8" t="s">
        <v>76</v>
      </c>
    </row>
    <row r="2" spans="1:83" x14ac:dyDescent="0.3">
      <c r="A2" s="30" t="s">
        <v>294</v>
      </c>
      <c r="B2" s="30" t="s">
        <v>296</v>
      </c>
      <c r="C2" s="27" t="s">
        <v>317</v>
      </c>
      <c r="D2" s="27">
        <v>2019</v>
      </c>
      <c r="E2" s="30" t="s">
        <v>319</v>
      </c>
      <c r="F2" s="30" t="s">
        <v>320</v>
      </c>
      <c r="G2" s="27" t="s">
        <v>78</v>
      </c>
      <c r="H2" s="27">
        <v>1</v>
      </c>
      <c r="I2" s="27" t="s">
        <v>291</v>
      </c>
      <c r="J2" s="27" t="s">
        <v>79</v>
      </c>
      <c r="L2" s="27" t="s">
        <v>129</v>
      </c>
      <c r="M2" s="27" t="s">
        <v>381</v>
      </c>
      <c r="N2" s="27">
        <v>-0.04</v>
      </c>
      <c r="O2" s="27">
        <v>0.05</v>
      </c>
      <c r="P2" s="31">
        <f>N2/O2</f>
        <v>-0.79999999999999993</v>
      </c>
      <c r="Q2" s="27" t="s">
        <v>313</v>
      </c>
      <c r="R2" s="27" t="s">
        <v>313</v>
      </c>
      <c r="S2" s="27" t="s">
        <v>313</v>
      </c>
      <c r="T2" s="27">
        <v>524</v>
      </c>
      <c r="U2" s="27">
        <v>23</v>
      </c>
      <c r="V2" s="27">
        <f>T2-U2</f>
        <v>501</v>
      </c>
      <c r="W2" s="27">
        <f>P2/(P2^2 + V2)^(1/2)</f>
        <v>-3.5718557161951547E-2</v>
      </c>
      <c r="X2" s="27">
        <f>((1-W2^2)/V2)^(1/2)</f>
        <v>4.4648196452439441E-2</v>
      </c>
      <c r="Y2" s="27">
        <f>W2</f>
        <v>-3.5718557161951547E-2</v>
      </c>
      <c r="Z2" s="27" t="s">
        <v>81</v>
      </c>
      <c r="AA2" s="32">
        <f>(N2*AF2)/(10*AU2)</f>
        <v>-2.4721723518850987E-3</v>
      </c>
      <c r="AB2" s="32">
        <f>O2*AF2/(10*AU2)</f>
        <v>3.0902154398563734E-3</v>
      </c>
      <c r="AC2" s="32">
        <f>AA2</f>
        <v>-2.4721723518850987E-3</v>
      </c>
      <c r="AD2" s="27" t="s">
        <v>82</v>
      </c>
      <c r="AE2" s="27" t="s">
        <v>297</v>
      </c>
      <c r="AF2" s="27">
        <v>68.849999999999994</v>
      </c>
      <c r="AG2" s="27">
        <v>35.299999999999997</v>
      </c>
      <c r="AH2" s="27">
        <v>15.39</v>
      </c>
      <c r="AI2" s="27">
        <v>224.67</v>
      </c>
      <c r="AJ2" s="27" t="s">
        <v>83</v>
      </c>
      <c r="AK2" s="27" t="s">
        <v>133</v>
      </c>
      <c r="AL2" s="27" t="s">
        <v>85</v>
      </c>
      <c r="AM2" s="27" t="s">
        <v>86</v>
      </c>
      <c r="AN2" s="27">
        <v>0</v>
      </c>
      <c r="AO2" s="27">
        <v>0</v>
      </c>
      <c r="AP2" s="27" t="s">
        <v>87</v>
      </c>
      <c r="AQ2" s="27" t="s">
        <v>88</v>
      </c>
      <c r="AR2" s="27" t="s">
        <v>89</v>
      </c>
      <c r="AS2" s="27" t="s">
        <v>114</v>
      </c>
      <c r="AT2" s="27" t="s">
        <v>292</v>
      </c>
      <c r="AU2" s="27">
        <v>111.4</v>
      </c>
      <c r="AV2" s="27" t="s">
        <v>313</v>
      </c>
      <c r="AW2" s="27" t="s">
        <v>313</v>
      </c>
      <c r="AX2" s="27" t="s">
        <v>313</v>
      </c>
      <c r="AY2" s="27" t="s">
        <v>91</v>
      </c>
      <c r="AZ2" s="27" t="s">
        <v>137</v>
      </c>
      <c r="BA2" s="27" t="s">
        <v>376</v>
      </c>
      <c r="BB2" s="27" t="s">
        <v>290</v>
      </c>
      <c r="BC2" s="27" t="s">
        <v>316</v>
      </c>
      <c r="BD2" s="27" t="s">
        <v>117</v>
      </c>
      <c r="BE2" s="27" t="s">
        <v>93</v>
      </c>
      <c r="BF2" s="27" t="s">
        <v>313</v>
      </c>
      <c r="BG2" s="27" t="s">
        <v>313</v>
      </c>
      <c r="BH2" s="28">
        <v>41883</v>
      </c>
      <c r="BI2" s="28">
        <v>42155</v>
      </c>
      <c r="BJ2" s="27" t="s">
        <v>94</v>
      </c>
      <c r="BK2" s="27" t="s">
        <v>95</v>
      </c>
      <c r="BL2" s="27" t="s">
        <v>96</v>
      </c>
      <c r="BM2" s="27">
        <v>0</v>
      </c>
      <c r="BN2" s="27">
        <v>0</v>
      </c>
      <c r="BO2" s="27" t="s">
        <v>313</v>
      </c>
      <c r="BP2" s="27" t="s">
        <v>314</v>
      </c>
      <c r="BQ2" s="27">
        <v>0</v>
      </c>
      <c r="BR2" s="27" t="s">
        <v>97</v>
      </c>
      <c r="BS2" s="27">
        <v>0</v>
      </c>
      <c r="BT2" s="27" t="s">
        <v>97</v>
      </c>
      <c r="BU2" s="27">
        <v>1</v>
      </c>
      <c r="BV2" s="27" t="s">
        <v>318</v>
      </c>
      <c r="BW2" s="27" t="s">
        <v>98</v>
      </c>
      <c r="BX2" s="27">
        <v>64</v>
      </c>
      <c r="BY2" s="27">
        <v>0</v>
      </c>
      <c r="BZ2" s="27" t="s">
        <v>99</v>
      </c>
      <c r="CA2" s="27" t="s">
        <v>100</v>
      </c>
      <c r="CB2" s="27" t="s">
        <v>101</v>
      </c>
      <c r="CC2" s="28">
        <v>45847</v>
      </c>
    </row>
    <row r="3" spans="1:83" x14ac:dyDescent="0.3">
      <c r="A3" s="30" t="s">
        <v>294</v>
      </c>
      <c r="B3" s="30" t="s">
        <v>298</v>
      </c>
      <c r="C3" s="27" t="s">
        <v>317</v>
      </c>
      <c r="D3" s="27">
        <v>2019</v>
      </c>
      <c r="E3" s="30" t="s">
        <v>319</v>
      </c>
      <c r="F3" s="30" t="s">
        <v>320</v>
      </c>
      <c r="G3" s="27" t="s">
        <v>78</v>
      </c>
      <c r="H3" s="27">
        <v>1</v>
      </c>
      <c r="I3" s="27" t="s">
        <v>291</v>
      </c>
      <c r="J3" s="27" t="s">
        <v>79</v>
      </c>
      <c r="L3" s="27" t="s">
        <v>129</v>
      </c>
      <c r="M3" s="27" t="s">
        <v>381</v>
      </c>
      <c r="N3" s="27">
        <v>-0.18</v>
      </c>
      <c r="O3" s="27">
        <v>0.15</v>
      </c>
      <c r="P3" s="31">
        <f t="shared" ref="P3:P41" si="0">N3/O3</f>
        <v>-1.2</v>
      </c>
      <c r="Q3" s="27" t="s">
        <v>313</v>
      </c>
      <c r="R3" s="27" t="s">
        <v>313</v>
      </c>
      <c r="S3" s="27" t="s">
        <v>313</v>
      </c>
      <c r="T3" s="27">
        <v>524</v>
      </c>
      <c r="U3" s="27">
        <v>23</v>
      </c>
      <c r="V3" s="27">
        <f t="shared" ref="V3:V17" si="1">T3-U3</f>
        <v>501</v>
      </c>
      <c r="W3" s="27">
        <f t="shared" ref="W3:W17" si="2">P3/(P3^2 + V3)^(1/2)</f>
        <v>-5.3535164634100886E-2</v>
      </c>
      <c r="X3" s="27">
        <f t="shared" ref="X3:X17" si="3">((1-W3^2)/V3)^(1/2)</f>
        <v>4.4612637195084071E-2</v>
      </c>
      <c r="Y3" s="27">
        <f t="shared" ref="Y3:Y17" si="4">W3</f>
        <v>-5.3535164634100886E-2</v>
      </c>
      <c r="Z3" s="27" t="s">
        <v>81</v>
      </c>
      <c r="AA3" s="32">
        <f>(N3*AF3)/(10*AU3)</f>
        <v>-4.9766606822262112E-3</v>
      </c>
      <c r="AB3" s="32">
        <f>O3*AF3/(10*AU3)</f>
        <v>4.1472172351885101E-3</v>
      </c>
      <c r="AC3" s="32">
        <f t="shared" ref="AC3:AC41" si="5">AA3</f>
        <v>-4.9766606822262112E-3</v>
      </c>
      <c r="AD3" s="27" t="s">
        <v>159</v>
      </c>
      <c r="AE3" s="27" t="s">
        <v>297</v>
      </c>
      <c r="AF3" s="27">
        <v>30.8</v>
      </c>
      <c r="AG3" s="27">
        <v>13.83</v>
      </c>
      <c r="AH3" s="27">
        <v>9.52</v>
      </c>
      <c r="AI3" s="27">
        <v>80.8</v>
      </c>
      <c r="AJ3" s="27" t="s">
        <v>83</v>
      </c>
      <c r="AK3" s="27" t="s">
        <v>133</v>
      </c>
      <c r="AL3" s="27" t="s">
        <v>85</v>
      </c>
      <c r="AM3" s="27" t="s">
        <v>86</v>
      </c>
      <c r="AN3" s="27">
        <v>0</v>
      </c>
      <c r="AO3" s="27">
        <v>0</v>
      </c>
      <c r="AP3" s="27" t="s">
        <v>87</v>
      </c>
      <c r="AQ3" s="27" t="s">
        <v>88</v>
      </c>
      <c r="AR3" s="27" t="s">
        <v>89</v>
      </c>
      <c r="AS3" s="27" t="s">
        <v>114</v>
      </c>
      <c r="AT3" s="27" t="s">
        <v>292</v>
      </c>
      <c r="AU3" s="27">
        <v>111.4</v>
      </c>
      <c r="AV3" s="27" t="s">
        <v>313</v>
      </c>
      <c r="AW3" s="27" t="s">
        <v>313</v>
      </c>
      <c r="AX3" s="27" t="s">
        <v>313</v>
      </c>
      <c r="AY3" s="27" t="s">
        <v>91</v>
      </c>
      <c r="AZ3" s="27" t="s">
        <v>137</v>
      </c>
      <c r="BA3" s="27" t="s">
        <v>376</v>
      </c>
      <c r="BB3" s="27" t="s">
        <v>290</v>
      </c>
      <c r="BC3" s="27" t="s">
        <v>316</v>
      </c>
      <c r="BD3" s="27" t="s">
        <v>117</v>
      </c>
      <c r="BE3" s="27" t="s">
        <v>93</v>
      </c>
      <c r="BF3" s="27" t="s">
        <v>313</v>
      </c>
      <c r="BG3" s="27" t="s">
        <v>313</v>
      </c>
      <c r="BH3" s="28">
        <v>41883</v>
      </c>
      <c r="BI3" s="28">
        <v>42155</v>
      </c>
      <c r="BJ3" s="27" t="s">
        <v>94</v>
      </c>
      <c r="BK3" s="27" t="s">
        <v>95</v>
      </c>
      <c r="BL3" s="27" t="s">
        <v>96</v>
      </c>
      <c r="BM3" s="27">
        <v>0</v>
      </c>
      <c r="BN3" s="27">
        <v>0</v>
      </c>
      <c r="BO3" s="27" t="s">
        <v>313</v>
      </c>
      <c r="BP3" s="27" t="s">
        <v>314</v>
      </c>
      <c r="BQ3" s="27">
        <v>0</v>
      </c>
      <c r="BR3" s="27" t="s">
        <v>97</v>
      </c>
      <c r="BS3" s="27">
        <v>0</v>
      </c>
      <c r="BT3" s="27" t="s">
        <v>97</v>
      </c>
      <c r="BU3" s="27">
        <v>1</v>
      </c>
      <c r="BV3" s="27" t="s">
        <v>318</v>
      </c>
      <c r="BW3" s="27" t="s">
        <v>98</v>
      </c>
      <c r="BX3" s="27">
        <v>64</v>
      </c>
      <c r="BY3" s="27">
        <v>0</v>
      </c>
      <c r="BZ3" s="27" t="s">
        <v>99</v>
      </c>
      <c r="CA3" s="27" t="s">
        <v>100</v>
      </c>
      <c r="CB3" s="27" t="s">
        <v>101</v>
      </c>
      <c r="CC3" s="28">
        <v>45847</v>
      </c>
    </row>
    <row r="4" spans="1:83" x14ac:dyDescent="0.3">
      <c r="A4" s="30" t="s">
        <v>294</v>
      </c>
      <c r="B4" s="30" t="s">
        <v>299</v>
      </c>
      <c r="C4" s="27" t="s">
        <v>317</v>
      </c>
      <c r="D4" s="27">
        <v>2019</v>
      </c>
      <c r="E4" s="30" t="s">
        <v>319</v>
      </c>
      <c r="F4" s="30" t="s">
        <v>320</v>
      </c>
      <c r="G4" s="27" t="s">
        <v>78</v>
      </c>
      <c r="H4" s="27">
        <v>1</v>
      </c>
      <c r="I4" s="27" t="s">
        <v>291</v>
      </c>
      <c r="J4" s="27" t="s">
        <v>79</v>
      </c>
      <c r="L4" s="27" t="s">
        <v>129</v>
      </c>
      <c r="M4" s="27" t="s">
        <v>381</v>
      </c>
      <c r="N4" s="27">
        <v>-0.05</v>
      </c>
      <c r="O4" s="27">
        <v>0.06</v>
      </c>
      <c r="P4" s="31">
        <f t="shared" si="0"/>
        <v>-0.83333333333333337</v>
      </c>
      <c r="Q4" s="27" t="s">
        <v>313</v>
      </c>
      <c r="R4" s="27" t="s">
        <v>313</v>
      </c>
      <c r="S4" s="27" t="s">
        <v>313</v>
      </c>
      <c r="T4" s="27">
        <v>524</v>
      </c>
      <c r="U4" s="27">
        <v>23</v>
      </c>
      <c r="V4" s="27">
        <f t="shared" si="1"/>
        <v>501</v>
      </c>
      <c r="W4" s="27">
        <f t="shared" si="2"/>
        <v>-3.7204811458752242E-2</v>
      </c>
      <c r="X4" s="27">
        <f t="shared" si="3"/>
        <v>4.4645773750502687E-2</v>
      </c>
      <c r="Y4" s="27">
        <f t="shared" si="4"/>
        <v>-3.7204811458752242E-2</v>
      </c>
      <c r="Z4" s="27" t="s">
        <v>81</v>
      </c>
      <c r="AA4" s="32">
        <f>(N4*AF4)/(10*AU4)</f>
        <v>-3.0902154398563734E-3</v>
      </c>
      <c r="AB4" s="32">
        <f>O4*AF4/(10*AU4)</f>
        <v>3.7082585278276473E-3</v>
      </c>
      <c r="AC4" s="32">
        <f t="shared" si="5"/>
        <v>-3.0902154398563734E-3</v>
      </c>
      <c r="AD4" s="27" t="s">
        <v>82</v>
      </c>
      <c r="AE4" s="27" t="s">
        <v>297</v>
      </c>
      <c r="AF4" s="27">
        <v>68.849999999999994</v>
      </c>
      <c r="AG4" s="27">
        <v>35.299999999999997</v>
      </c>
      <c r="AH4" s="27">
        <v>15.39</v>
      </c>
      <c r="AI4" s="27">
        <v>224.67</v>
      </c>
      <c r="AJ4" s="27" t="s">
        <v>83</v>
      </c>
      <c r="AK4" s="27" t="s">
        <v>133</v>
      </c>
      <c r="AL4" s="27" t="s">
        <v>85</v>
      </c>
      <c r="AM4" s="27" t="s">
        <v>86</v>
      </c>
      <c r="AN4" s="27">
        <v>0</v>
      </c>
      <c r="AO4" s="27">
        <v>0</v>
      </c>
      <c r="AP4" s="27" t="s">
        <v>87</v>
      </c>
      <c r="AQ4" s="27" t="s">
        <v>88</v>
      </c>
      <c r="AR4" s="27" t="s">
        <v>89</v>
      </c>
      <c r="AS4" s="27" t="s">
        <v>114</v>
      </c>
      <c r="AT4" s="27" t="s">
        <v>292</v>
      </c>
      <c r="AU4" s="27">
        <v>111.4</v>
      </c>
      <c r="AV4" s="27" t="s">
        <v>313</v>
      </c>
      <c r="AW4" s="27" t="s">
        <v>313</v>
      </c>
      <c r="AX4" s="27" t="s">
        <v>313</v>
      </c>
      <c r="AY4" s="27" t="s">
        <v>91</v>
      </c>
      <c r="AZ4" s="27" t="s">
        <v>137</v>
      </c>
      <c r="BA4" s="27" t="s">
        <v>376</v>
      </c>
      <c r="BB4" s="27" t="s">
        <v>290</v>
      </c>
      <c r="BC4" s="27" t="s">
        <v>316</v>
      </c>
      <c r="BD4" s="27" t="s">
        <v>117</v>
      </c>
      <c r="BE4" s="27" t="s">
        <v>93</v>
      </c>
      <c r="BF4" s="27" t="s">
        <v>313</v>
      </c>
      <c r="BG4" s="27" t="s">
        <v>313</v>
      </c>
      <c r="BH4" s="28">
        <v>41883</v>
      </c>
      <c r="BI4" s="28">
        <v>42155</v>
      </c>
      <c r="BJ4" s="27" t="s">
        <v>94</v>
      </c>
      <c r="BK4" s="27" t="s">
        <v>95</v>
      </c>
      <c r="BL4" s="27" t="s">
        <v>140</v>
      </c>
      <c r="BM4" s="27">
        <v>1</v>
      </c>
      <c r="BN4" s="27">
        <v>1</v>
      </c>
      <c r="BO4" s="27" t="s">
        <v>304</v>
      </c>
      <c r="BP4" s="27" t="s">
        <v>314</v>
      </c>
      <c r="BQ4" s="27">
        <v>0</v>
      </c>
      <c r="BR4" s="27" t="s">
        <v>97</v>
      </c>
      <c r="BS4" s="27">
        <v>0</v>
      </c>
      <c r="BT4" s="27" t="s">
        <v>97</v>
      </c>
      <c r="BU4" s="27">
        <v>1</v>
      </c>
      <c r="BV4" s="27" t="s">
        <v>318</v>
      </c>
      <c r="BW4" s="27" t="s">
        <v>98</v>
      </c>
      <c r="BX4" s="27">
        <v>64</v>
      </c>
      <c r="BY4" s="27">
        <v>0</v>
      </c>
      <c r="BZ4" s="27" t="s">
        <v>99</v>
      </c>
      <c r="CA4" s="27" t="s">
        <v>100</v>
      </c>
      <c r="CB4" s="27" t="s">
        <v>101</v>
      </c>
      <c r="CC4" s="28">
        <v>45847</v>
      </c>
    </row>
    <row r="5" spans="1:83" x14ac:dyDescent="0.3">
      <c r="A5" s="30" t="s">
        <v>294</v>
      </c>
      <c r="B5" s="30" t="s">
        <v>300</v>
      </c>
      <c r="C5" s="27" t="s">
        <v>317</v>
      </c>
      <c r="D5" s="27">
        <v>2019</v>
      </c>
      <c r="E5" s="30" t="s">
        <v>319</v>
      </c>
      <c r="F5" s="30" t="s">
        <v>320</v>
      </c>
      <c r="G5" s="27" t="s">
        <v>78</v>
      </c>
      <c r="H5" s="27">
        <v>1</v>
      </c>
      <c r="I5" s="27" t="s">
        <v>291</v>
      </c>
      <c r="J5" s="27" t="s">
        <v>79</v>
      </c>
      <c r="L5" s="27" t="s">
        <v>129</v>
      </c>
      <c r="M5" s="27" t="s">
        <v>381</v>
      </c>
      <c r="N5" s="27">
        <v>-0.33</v>
      </c>
      <c r="O5" s="27">
        <v>0.28000000000000003</v>
      </c>
      <c r="P5" s="31">
        <f t="shared" si="0"/>
        <v>-1.1785714285714286</v>
      </c>
      <c r="Q5" s="27" t="s">
        <v>313</v>
      </c>
      <c r="R5" s="27" t="s">
        <v>313</v>
      </c>
      <c r="S5" s="27" t="s">
        <v>313</v>
      </c>
      <c r="T5" s="27">
        <v>524</v>
      </c>
      <c r="U5" s="27">
        <v>23</v>
      </c>
      <c r="V5" s="27">
        <f t="shared" si="1"/>
        <v>501</v>
      </c>
      <c r="W5" s="27">
        <f t="shared" si="2"/>
        <v>-5.2581846668322357E-2</v>
      </c>
      <c r="X5" s="27">
        <f t="shared" si="3"/>
        <v>4.4614900203425033E-2</v>
      </c>
      <c r="Y5" s="27">
        <f t="shared" si="4"/>
        <v>-5.2581846668322357E-2</v>
      </c>
      <c r="Z5" s="27" t="s">
        <v>81</v>
      </c>
      <c r="AA5" s="32">
        <f>(N5*AF5)/(10*AU5)</f>
        <v>-9.123877917414723E-3</v>
      </c>
      <c r="AB5" s="32">
        <f>O5*AF5/(10*AU5)</f>
        <v>7.7414721723518855E-3</v>
      </c>
      <c r="AC5" s="32">
        <f t="shared" si="5"/>
        <v>-9.123877917414723E-3</v>
      </c>
      <c r="AD5" s="27" t="s">
        <v>159</v>
      </c>
      <c r="AE5" s="27" t="s">
        <v>297</v>
      </c>
      <c r="AF5" s="27">
        <v>30.8</v>
      </c>
      <c r="AG5" s="27">
        <v>13.83</v>
      </c>
      <c r="AH5" s="27">
        <v>9.52</v>
      </c>
      <c r="AI5" s="27">
        <v>80.8</v>
      </c>
      <c r="AJ5" s="27" t="s">
        <v>83</v>
      </c>
      <c r="AK5" s="27" t="s">
        <v>133</v>
      </c>
      <c r="AL5" s="27" t="s">
        <v>85</v>
      </c>
      <c r="AM5" s="27" t="s">
        <v>86</v>
      </c>
      <c r="AN5" s="27">
        <v>0</v>
      </c>
      <c r="AO5" s="27">
        <v>0</v>
      </c>
      <c r="AP5" s="27" t="s">
        <v>87</v>
      </c>
      <c r="AQ5" s="27" t="s">
        <v>88</v>
      </c>
      <c r="AR5" s="27" t="s">
        <v>89</v>
      </c>
      <c r="AS5" s="27" t="s">
        <v>114</v>
      </c>
      <c r="AT5" s="27" t="s">
        <v>292</v>
      </c>
      <c r="AU5" s="27">
        <v>111.4</v>
      </c>
      <c r="AV5" s="27" t="s">
        <v>313</v>
      </c>
      <c r="AW5" s="27" t="s">
        <v>313</v>
      </c>
      <c r="AX5" s="27" t="s">
        <v>313</v>
      </c>
      <c r="AY5" s="27" t="s">
        <v>91</v>
      </c>
      <c r="AZ5" s="27" t="s">
        <v>137</v>
      </c>
      <c r="BA5" s="27" t="s">
        <v>376</v>
      </c>
      <c r="BB5" s="27" t="s">
        <v>290</v>
      </c>
      <c r="BC5" s="27" t="s">
        <v>316</v>
      </c>
      <c r="BD5" s="27" t="s">
        <v>117</v>
      </c>
      <c r="BE5" s="27" t="s">
        <v>93</v>
      </c>
      <c r="BF5" s="27" t="s">
        <v>313</v>
      </c>
      <c r="BG5" s="27" t="s">
        <v>313</v>
      </c>
      <c r="BH5" s="28">
        <v>41883</v>
      </c>
      <c r="BI5" s="28">
        <v>42155</v>
      </c>
      <c r="BJ5" s="27" t="s">
        <v>94</v>
      </c>
      <c r="BK5" s="27" t="s">
        <v>95</v>
      </c>
      <c r="BL5" s="27" t="s">
        <v>140</v>
      </c>
      <c r="BM5" s="27">
        <v>1</v>
      </c>
      <c r="BN5" s="27">
        <v>1</v>
      </c>
      <c r="BO5" s="27" t="s">
        <v>304</v>
      </c>
      <c r="BP5" s="27" t="s">
        <v>314</v>
      </c>
      <c r="BQ5" s="27">
        <v>0</v>
      </c>
      <c r="BR5" s="27" t="s">
        <v>97</v>
      </c>
      <c r="BS5" s="27">
        <v>0</v>
      </c>
      <c r="BT5" s="27" t="s">
        <v>97</v>
      </c>
      <c r="BU5" s="27">
        <v>1</v>
      </c>
      <c r="BV5" s="27" t="s">
        <v>318</v>
      </c>
      <c r="BW5" s="27" t="s">
        <v>98</v>
      </c>
      <c r="BX5" s="27">
        <v>64</v>
      </c>
      <c r="BY5" s="27">
        <v>0</v>
      </c>
      <c r="BZ5" s="27" t="s">
        <v>99</v>
      </c>
      <c r="CA5" s="27" t="s">
        <v>100</v>
      </c>
      <c r="CB5" s="27" t="s">
        <v>101</v>
      </c>
      <c r="CC5" s="28">
        <v>45847</v>
      </c>
    </row>
    <row r="6" spans="1:83" x14ac:dyDescent="0.3">
      <c r="A6" s="30" t="s">
        <v>294</v>
      </c>
      <c r="B6" s="30" t="s">
        <v>301</v>
      </c>
      <c r="C6" s="27" t="s">
        <v>317</v>
      </c>
      <c r="D6" s="27">
        <v>2019</v>
      </c>
      <c r="E6" s="30" t="s">
        <v>319</v>
      </c>
      <c r="F6" s="30" t="s">
        <v>320</v>
      </c>
      <c r="G6" s="27" t="s">
        <v>78</v>
      </c>
      <c r="H6" s="27">
        <v>1</v>
      </c>
      <c r="I6" s="27" t="s">
        <v>291</v>
      </c>
      <c r="J6" s="27" t="s">
        <v>79</v>
      </c>
      <c r="L6" s="27" t="s">
        <v>129</v>
      </c>
      <c r="M6" s="27" t="s">
        <v>381</v>
      </c>
      <c r="N6" s="27">
        <v>0</v>
      </c>
      <c r="O6" s="27">
        <v>0.04</v>
      </c>
      <c r="P6" s="31">
        <f t="shared" si="0"/>
        <v>0</v>
      </c>
      <c r="Q6" s="27" t="s">
        <v>313</v>
      </c>
      <c r="R6" s="27" t="s">
        <v>313</v>
      </c>
      <c r="S6" s="27" t="s">
        <v>313</v>
      </c>
      <c r="T6" s="27">
        <v>4443</v>
      </c>
      <c r="U6" s="27">
        <v>69</v>
      </c>
      <c r="V6" s="27">
        <f t="shared" si="1"/>
        <v>4374</v>
      </c>
      <c r="W6" s="27">
        <f t="shared" si="2"/>
        <v>0</v>
      </c>
      <c r="X6" s="27">
        <f t="shared" si="3"/>
        <v>1.5120307054217149E-2</v>
      </c>
      <c r="Y6" s="27">
        <f t="shared" si="4"/>
        <v>0</v>
      </c>
      <c r="Z6" s="27" t="s">
        <v>81</v>
      </c>
      <c r="AA6" s="32">
        <f>(N6*AF6)/(10*AU6)</f>
        <v>0</v>
      </c>
      <c r="AB6" s="32">
        <f>O6*AF6/(10*AU6)</f>
        <v>2.4501779359430605E-3</v>
      </c>
      <c r="AC6" s="32">
        <f t="shared" si="5"/>
        <v>0</v>
      </c>
      <c r="AD6" s="27" t="s">
        <v>82</v>
      </c>
      <c r="AE6" s="27" t="s">
        <v>297</v>
      </c>
      <c r="AF6" s="27">
        <v>68.849999999999994</v>
      </c>
      <c r="AG6" s="27">
        <v>35.299999999999997</v>
      </c>
      <c r="AH6" s="27">
        <v>15.39</v>
      </c>
      <c r="AI6" s="27">
        <v>224.67</v>
      </c>
      <c r="AJ6" s="27" t="s">
        <v>83</v>
      </c>
      <c r="AK6" s="27" t="s">
        <v>133</v>
      </c>
      <c r="AL6" s="27" t="s">
        <v>85</v>
      </c>
      <c r="AM6" s="27" t="s">
        <v>86</v>
      </c>
      <c r="AN6" s="27">
        <v>0</v>
      </c>
      <c r="AO6" s="27">
        <v>0</v>
      </c>
      <c r="AP6" s="27" t="s">
        <v>87</v>
      </c>
      <c r="AQ6" s="27" t="s">
        <v>88</v>
      </c>
      <c r="AR6" s="27" t="s">
        <v>89</v>
      </c>
      <c r="AS6" s="27" t="s">
        <v>114</v>
      </c>
      <c r="AT6" s="27" t="s">
        <v>292</v>
      </c>
      <c r="AU6" s="27">
        <v>112.4</v>
      </c>
      <c r="AV6" s="27" t="s">
        <v>313</v>
      </c>
      <c r="AW6" s="27" t="s">
        <v>313</v>
      </c>
      <c r="AX6" s="27" t="s">
        <v>313</v>
      </c>
      <c r="AY6" s="27" t="s">
        <v>91</v>
      </c>
      <c r="AZ6" s="27" t="s">
        <v>84</v>
      </c>
      <c r="BA6" s="27" t="s">
        <v>376</v>
      </c>
      <c r="BB6" s="27" t="s">
        <v>290</v>
      </c>
      <c r="BC6" s="27" t="s">
        <v>316</v>
      </c>
      <c r="BD6" s="27" t="s">
        <v>117</v>
      </c>
      <c r="BE6" s="27" t="s">
        <v>93</v>
      </c>
      <c r="BF6" s="27" t="s">
        <v>313</v>
      </c>
      <c r="BG6" s="27" t="s">
        <v>313</v>
      </c>
      <c r="BH6" s="28">
        <v>41883</v>
      </c>
      <c r="BI6" s="28">
        <v>42155</v>
      </c>
      <c r="BJ6" s="27" t="s">
        <v>94</v>
      </c>
      <c r="BK6" s="27" t="s">
        <v>95</v>
      </c>
      <c r="BL6" s="27" t="s">
        <v>96</v>
      </c>
      <c r="BM6" s="27">
        <v>0</v>
      </c>
      <c r="BN6" s="27">
        <v>0</v>
      </c>
      <c r="BO6" s="27" t="s">
        <v>313</v>
      </c>
      <c r="BP6" s="27" t="s">
        <v>315</v>
      </c>
      <c r="BQ6" s="27">
        <v>0</v>
      </c>
      <c r="BR6" s="27" t="s">
        <v>97</v>
      </c>
      <c r="BS6" s="27">
        <v>0</v>
      </c>
      <c r="BT6" s="27" t="s">
        <v>97</v>
      </c>
      <c r="BU6" s="27">
        <v>1</v>
      </c>
      <c r="BV6" s="27" t="s">
        <v>377</v>
      </c>
      <c r="BW6" s="27" t="s">
        <v>98</v>
      </c>
      <c r="BX6" s="27">
        <v>64</v>
      </c>
      <c r="BY6" s="27">
        <v>0</v>
      </c>
      <c r="BZ6" s="27" t="s">
        <v>99</v>
      </c>
      <c r="CA6" s="27" t="s">
        <v>100</v>
      </c>
      <c r="CB6" s="27" t="s">
        <v>101</v>
      </c>
      <c r="CC6" s="28">
        <v>45847</v>
      </c>
    </row>
    <row r="7" spans="1:83" x14ac:dyDescent="0.3">
      <c r="A7" s="30" t="s">
        <v>294</v>
      </c>
      <c r="B7" s="30" t="s">
        <v>302</v>
      </c>
      <c r="C7" s="27" t="s">
        <v>317</v>
      </c>
      <c r="D7" s="27">
        <v>2019</v>
      </c>
      <c r="E7" s="30" t="s">
        <v>319</v>
      </c>
      <c r="F7" s="30" t="s">
        <v>320</v>
      </c>
      <c r="G7" s="27" t="s">
        <v>78</v>
      </c>
      <c r="H7" s="27">
        <v>1</v>
      </c>
      <c r="I7" s="27" t="s">
        <v>291</v>
      </c>
      <c r="J7" s="27" t="s">
        <v>79</v>
      </c>
      <c r="L7" s="27" t="s">
        <v>129</v>
      </c>
      <c r="M7" s="27" t="s">
        <v>381</v>
      </c>
      <c r="N7" s="27">
        <v>-0.05</v>
      </c>
      <c r="O7" s="27">
        <v>0.11</v>
      </c>
      <c r="P7" s="31">
        <f t="shared" si="0"/>
        <v>-0.45454545454545459</v>
      </c>
      <c r="Q7" s="27" t="s">
        <v>313</v>
      </c>
      <c r="R7" s="27" t="s">
        <v>313</v>
      </c>
      <c r="S7" s="27" t="s">
        <v>313</v>
      </c>
      <c r="T7" s="27">
        <v>4443</v>
      </c>
      <c r="U7" s="27">
        <v>69</v>
      </c>
      <c r="V7" s="27">
        <f t="shared" si="1"/>
        <v>4374</v>
      </c>
      <c r="W7" s="27">
        <f t="shared" si="2"/>
        <v>-6.872704524181106E-3</v>
      </c>
      <c r="X7" s="27">
        <f t="shared" si="3"/>
        <v>1.511994995319843E-2</v>
      </c>
      <c r="Y7" s="27">
        <f t="shared" si="4"/>
        <v>-6.872704524181106E-3</v>
      </c>
      <c r="Z7" s="27" t="s">
        <v>81</v>
      </c>
      <c r="AA7" s="32">
        <f>(N7*AF7)/(10*AU7)</f>
        <v>-1.3701067615658363E-3</v>
      </c>
      <c r="AB7" s="32">
        <f>O7*AF7/(10*AU7)</f>
        <v>3.0142348754448396E-3</v>
      </c>
      <c r="AC7" s="32">
        <f t="shared" si="5"/>
        <v>-1.3701067615658363E-3</v>
      </c>
      <c r="AD7" s="27" t="s">
        <v>159</v>
      </c>
      <c r="AE7" s="27" t="s">
        <v>297</v>
      </c>
      <c r="AF7" s="27">
        <v>30.8</v>
      </c>
      <c r="AG7" s="27">
        <v>13.83</v>
      </c>
      <c r="AH7" s="27">
        <v>9.52</v>
      </c>
      <c r="AI7" s="27">
        <v>80.8</v>
      </c>
      <c r="AJ7" s="27" t="s">
        <v>83</v>
      </c>
      <c r="AK7" s="27" t="s">
        <v>133</v>
      </c>
      <c r="AL7" s="27" t="s">
        <v>85</v>
      </c>
      <c r="AM7" s="27" t="s">
        <v>86</v>
      </c>
      <c r="AN7" s="27">
        <v>0</v>
      </c>
      <c r="AO7" s="27">
        <v>0</v>
      </c>
      <c r="AP7" s="27" t="s">
        <v>87</v>
      </c>
      <c r="AQ7" s="27" t="s">
        <v>88</v>
      </c>
      <c r="AR7" s="27" t="s">
        <v>89</v>
      </c>
      <c r="AS7" s="27" t="s">
        <v>114</v>
      </c>
      <c r="AT7" s="27" t="s">
        <v>292</v>
      </c>
      <c r="AU7" s="27">
        <v>112.4</v>
      </c>
      <c r="AV7" s="27" t="s">
        <v>313</v>
      </c>
      <c r="AW7" s="27" t="s">
        <v>313</v>
      </c>
      <c r="AX7" s="27" t="s">
        <v>313</v>
      </c>
      <c r="AY7" s="27" t="s">
        <v>91</v>
      </c>
      <c r="AZ7" s="27" t="s">
        <v>84</v>
      </c>
      <c r="BA7" s="27" t="s">
        <v>376</v>
      </c>
      <c r="BB7" s="27" t="s">
        <v>290</v>
      </c>
      <c r="BC7" s="27" t="s">
        <v>316</v>
      </c>
      <c r="BD7" s="27" t="s">
        <v>117</v>
      </c>
      <c r="BE7" s="27" t="s">
        <v>93</v>
      </c>
      <c r="BF7" s="27" t="s">
        <v>313</v>
      </c>
      <c r="BG7" s="27" t="s">
        <v>313</v>
      </c>
      <c r="BH7" s="28">
        <v>41883</v>
      </c>
      <c r="BI7" s="28">
        <v>42155</v>
      </c>
      <c r="BJ7" s="27" t="s">
        <v>94</v>
      </c>
      <c r="BK7" s="27" t="s">
        <v>95</v>
      </c>
      <c r="BL7" s="27" t="s">
        <v>96</v>
      </c>
      <c r="BM7" s="27">
        <v>0</v>
      </c>
      <c r="BN7" s="27">
        <v>0</v>
      </c>
      <c r="BO7" s="27" t="s">
        <v>313</v>
      </c>
      <c r="BP7" s="27" t="s">
        <v>315</v>
      </c>
      <c r="BQ7" s="27">
        <v>0</v>
      </c>
      <c r="BR7" s="27" t="s">
        <v>97</v>
      </c>
      <c r="BS7" s="27">
        <v>0</v>
      </c>
      <c r="BT7" s="27" t="s">
        <v>97</v>
      </c>
      <c r="BU7" s="27">
        <v>1</v>
      </c>
      <c r="BV7" s="27" t="s">
        <v>377</v>
      </c>
      <c r="BW7" s="27" t="s">
        <v>98</v>
      </c>
      <c r="BX7" s="27">
        <v>64</v>
      </c>
      <c r="BY7" s="27">
        <v>0</v>
      </c>
      <c r="BZ7" s="27" t="s">
        <v>99</v>
      </c>
      <c r="CA7" s="27" t="s">
        <v>100</v>
      </c>
      <c r="CB7" s="27" t="s">
        <v>101</v>
      </c>
      <c r="CC7" s="28">
        <v>45847</v>
      </c>
    </row>
    <row r="8" spans="1:83" x14ac:dyDescent="0.3">
      <c r="A8" s="30" t="s">
        <v>294</v>
      </c>
      <c r="B8" s="30" t="s">
        <v>295</v>
      </c>
      <c r="C8" s="27" t="s">
        <v>317</v>
      </c>
      <c r="D8" s="27">
        <v>2019</v>
      </c>
      <c r="E8" s="30" t="s">
        <v>319</v>
      </c>
      <c r="F8" s="30" t="s">
        <v>320</v>
      </c>
      <c r="G8" s="27" t="s">
        <v>78</v>
      </c>
      <c r="H8" s="27">
        <v>1</v>
      </c>
      <c r="I8" s="27" t="s">
        <v>291</v>
      </c>
      <c r="J8" s="27" t="s">
        <v>79</v>
      </c>
      <c r="L8" s="27" t="s">
        <v>129</v>
      </c>
      <c r="M8" s="27" t="s">
        <v>381</v>
      </c>
      <c r="N8" s="27">
        <v>0.01</v>
      </c>
      <c r="O8" s="27">
        <v>0.06</v>
      </c>
      <c r="P8" s="31">
        <f t="shared" si="0"/>
        <v>0.16666666666666669</v>
      </c>
      <c r="Q8" s="27" t="s">
        <v>313</v>
      </c>
      <c r="R8" s="27" t="s">
        <v>313</v>
      </c>
      <c r="S8" s="27" t="s">
        <v>313</v>
      </c>
      <c r="T8" s="27">
        <v>4443</v>
      </c>
      <c r="U8" s="27">
        <v>69</v>
      </c>
      <c r="V8" s="27">
        <f t="shared" si="1"/>
        <v>4374</v>
      </c>
      <c r="W8" s="27">
        <f t="shared" si="2"/>
        <v>2.5200431737494823E-3</v>
      </c>
      <c r="X8" s="27">
        <f t="shared" si="3"/>
        <v>1.5120259042496892E-2</v>
      </c>
      <c r="Y8" s="27">
        <f t="shared" si="4"/>
        <v>2.5200431737494823E-3</v>
      </c>
      <c r="Z8" s="27" t="s">
        <v>81</v>
      </c>
      <c r="AA8" s="32">
        <f>(N8*AF8)/(10*AU8)</f>
        <v>6.1254448398576512E-4</v>
      </c>
      <c r="AB8" s="32">
        <f>O8*AF8/(10*AU8)</f>
        <v>3.6752669039145903E-3</v>
      </c>
      <c r="AC8" s="32">
        <f t="shared" si="5"/>
        <v>6.1254448398576512E-4</v>
      </c>
      <c r="AD8" s="27" t="s">
        <v>82</v>
      </c>
      <c r="AE8" s="27" t="s">
        <v>297</v>
      </c>
      <c r="AF8" s="27">
        <v>68.849999999999994</v>
      </c>
      <c r="AG8" s="27">
        <v>35.299999999999997</v>
      </c>
      <c r="AH8" s="27">
        <v>15.39</v>
      </c>
      <c r="AI8" s="27">
        <v>224.67</v>
      </c>
      <c r="AJ8" s="27" t="s">
        <v>83</v>
      </c>
      <c r="AK8" s="27" t="s">
        <v>133</v>
      </c>
      <c r="AL8" s="27" t="s">
        <v>85</v>
      </c>
      <c r="AM8" s="27" t="s">
        <v>86</v>
      </c>
      <c r="AN8" s="27">
        <v>0</v>
      </c>
      <c r="AO8" s="27">
        <v>0</v>
      </c>
      <c r="AP8" s="27" t="s">
        <v>87</v>
      </c>
      <c r="AQ8" s="27" t="s">
        <v>88</v>
      </c>
      <c r="AR8" s="27" t="s">
        <v>89</v>
      </c>
      <c r="AS8" s="27" t="s">
        <v>114</v>
      </c>
      <c r="AT8" s="27" t="s">
        <v>292</v>
      </c>
      <c r="AU8" s="27">
        <v>112.4</v>
      </c>
      <c r="AV8" s="27" t="s">
        <v>313</v>
      </c>
      <c r="AW8" s="27" t="s">
        <v>313</v>
      </c>
      <c r="AX8" s="27" t="s">
        <v>313</v>
      </c>
      <c r="AY8" s="27" t="s">
        <v>91</v>
      </c>
      <c r="AZ8" s="27" t="s">
        <v>84</v>
      </c>
      <c r="BA8" s="27" t="s">
        <v>376</v>
      </c>
      <c r="BB8" s="27" t="s">
        <v>290</v>
      </c>
      <c r="BC8" s="27" t="s">
        <v>316</v>
      </c>
      <c r="BD8" s="27" t="s">
        <v>117</v>
      </c>
      <c r="BE8" s="27" t="s">
        <v>93</v>
      </c>
      <c r="BF8" s="27" t="s">
        <v>313</v>
      </c>
      <c r="BG8" s="27" t="s">
        <v>313</v>
      </c>
      <c r="BH8" s="28">
        <v>41883</v>
      </c>
      <c r="BI8" s="28">
        <v>42155</v>
      </c>
      <c r="BJ8" s="27" t="s">
        <v>94</v>
      </c>
      <c r="BK8" s="27" t="s">
        <v>95</v>
      </c>
      <c r="BL8" s="27" t="s">
        <v>140</v>
      </c>
      <c r="BM8" s="27">
        <v>1</v>
      </c>
      <c r="BN8" s="27">
        <v>1</v>
      </c>
      <c r="BO8" s="27" t="s">
        <v>304</v>
      </c>
      <c r="BP8" s="27" t="s">
        <v>315</v>
      </c>
      <c r="BQ8" s="27">
        <v>0</v>
      </c>
      <c r="BR8" s="27" t="s">
        <v>97</v>
      </c>
      <c r="BS8" s="27">
        <v>0</v>
      </c>
      <c r="BT8" s="27" t="s">
        <v>97</v>
      </c>
      <c r="BU8" s="27">
        <v>1</v>
      </c>
      <c r="BV8" s="27" t="s">
        <v>377</v>
      </c>
      <c r="BW8" s="27" t="s">
        <v>98</v>
      </c>
      <c r="BX8" s="27">
        <v>64</v>
      </c>
      <c r="BY8" s="27">
        <v>0</v>
      </c>
      <c r="BZ8" s="27" t="s">
        <v>99</v>
      </c>
      <c r="CA8" s="27" t="s">
        <v>100</v>
      </c>
      <c r="CB8" s="27" t="s">
        <v>101</v>
      </c>
      <c r="CC8" s="28">
        <v>45847</v>
      </c>
    </row>
    <row r="9" spans="1:83" x14ac:dyDescent="0.3">
      <c r="A9" s="30" t="s">
        <v>294</v>
      </c>
      <c r="B9" s="30" t="s">
        <v>303</v>
      </c>
      <c r="C9" s="27" t="s">
        <v>317</v>
      </c>
      <c r="D9" s="27">
        <v>2019</v>
      </c>
      <c r="E9" s="30" t="s">
        <v>319</v>
      </c>
      <c r="F9" s="30" t="s">
        <v>320</v>
      </c>
      <c r="G9" s="27" t="s">
        <v>78</v>
      </c>
      <c r="H9" s="27">
        <v>1</v>
      </c>
      <c r="I9" s="27" t="s">
        <v>291</v>
      </c>
      <c r="J9" s="27" t="s">
        <v>79</v>
      </c>
      <c r="L9" s="27" t="s">
        <v>129</v>
      </c>
      <c r="M9" s="27" t="s">
        <v>381</v>
      </c>
      <c r="N9" s="27">
        <v>-0.22</v>
      </c>
      <c r="O9" s="27">
        <v>0.27</v>
      </c>
      <c r="P9" s="31">
        <f t="shared" si="0"/>
        <v>-0.81481481481481477</v>
      </c>
      <c r="Q9" s="27" t="s">
        <v>313</v>
      </c>
      <c r="R9" s="27" t="s">
        <v>313</v>
      </c>
      <c r="S9" s="27" t="s">
        <v>313</v>
      </c>
      <c r="T9" s="27">
        <v>4443</v>
      </c>
      <c r="U9" s="27">
        <v>69</v>
      </c>
      <c r="V9" s="27">
        <f t="shared" si="1"/>
        <v>4374</v>
      </c>
      <c r="W9" s="27">
        <f t="shared" si="2"/>
        <v>-1.2319315262210168E-2</v>
      </c>
      <c r="X9" s="27">
        <f t="shared" si="3"/>
        <v>1.5119159639985207E-2</v>
      </c>
      <c r="Y9" s="27">
        <f t="shared" si="4"/>
        <v>-1.2319315262210168E-2</v>
      </c>
      <c r="Z9" s="27" t="s">
        <v>81</v>
      </c>
      <c r="AA9" s="32">
        <f>(N9*AF9)/(10*AU9)</f>
        <v>-6.0284697508896793E-3</v>
      </c>
      <c r="AB9" s="32">
        <f>O9*AF9/(10*AU9)</f>
        <v>7.3985765124555168E-3</v>
      </c>
      <c r="AC9" s="32">
        <f t="shared" si="5"/>
        <v>-6.0284697508896793E-3</v>
      </c>
      <c r="AD9" s="27" t="s">
        <v>159</v>
      </c>
      <c r="AE9" s="27" t="s">
        <v>297</v>
      </c>
      <c r="AF9" s="27">
        <v>30.8</v>
      </c>
      <c r="AG9" s="27">
        <v>13.83</v>
      </c>
      <c r="AH9" s="27">
        <v>9.52</v>
      </c>
      <c r="AI9" s="27">
        <v>80.8</v>
      </c>
      <c r="AJ9" s="27" t="s">
        <v>83</v>
      </c>
      <c r="AK9" s="27" t="s">
        <v>133</v>
      </c>
      <c r="AL9" s="27" t="s">
        <v>85</v>
      </c>
      <c r="AM9" s="27" t="s">
        <v>86</v>
      </c>
      <c r="AN9" s="27">
        <v>0</v>
      </c>
      <c r="AO9" s="27">
        <v>0</v>
      </c>
      <c r="AP9" s="27" t="s">
        <v>87</v>
      </c>
      <c r="AQ9" s="27" t="s">
        <v>88</v>
      </c>
      <c r="AR9" s="27" t="s">
        <v>89</v>
      </c>
      <c r="AS9" s="27" t="s">
        <v>114</v>
      </c>
      <c r="AT9" s="27" t="s">
        <v>292</v>
      </c>
      <c r="AU9" s="27">
        <v>112.4</v>
      </c>
      <c r="AV9" s="27" t="s">
        <v>313</v>
      </c>
      <c r="AW9" s="27" t="s">
        <v>313</v>
      </c>
      <c r="AX9" s="27" t="s">
        <v>313</v>
      </c>
      <c r="AY9" s="27" t="s">
        <v>91</v>
      </c>
      <c r="AZ9" s="27" t="s">
        <v>84</v>
      </c>
      <c r="BA9" s="27" t="s">
        <v>376</v>
      </c>
      <c r="BB9" s="27" t="s">
        <v>290</v>
      </c>
      <c r="BC9" s="27" t="s">
        <v>316</v>
      </c>
      <c r="BD9" s="27" t="s">
        <v>117</v>
      </c>
      <c r="BE9" s="27" t="s">
        <v>93</v>
      </c>
      <c r="BF9" s="27" t="s">
        <v>313</v>
      </c>
      <c r="BG9" s="27" t="s">
        <v>313</v>
      </c>
      <c r="BH9" s="28">
        <v>41883</v>
      </c>
      <c r="BI9" s="28">
        <v>42155</v>
      </c>
      <c r="BJ9" s="27" t="s">
        <v>94</v>
      </c>
      <c r="BK9" s="27" t="s">
        <v>95</v>
      </c>
      <c r="BL9" s="27" t="s">
        <v>140</v>
      </c>
      <c r="BM9" s="27">
        <v>1</v>
      </c>
      <c r="BN9" s="27">
        <v>1</v>
      </c>
      <c r="BO9" s="27" t="s">
        <v>304</v>
      </c>
      <c r="BP9" s="27" t="s">
        <v>315</v>
      </c>
      <c r="BQ9" s="27">
        <v>0</v>
      </c>
      <c r="BR9" s="27" t="s">
        <v>97</v>
      </c>
      <c r="BS9" s="27">
        <v>0</v>
      </c>
      <c r="BT9" s="27" t="s">
        <v>97</v>
      </c>
      <c r="BU9" s="27">
        <v>1</v>
      </c>
      <c r="BV9" s="27" t="s">
        <v>377</v>
      </c>
      <c r="BW9" s="27" t="s">
        <v>98</v>
      </c>
      <c r="BX9" s="27">
        <v>64</v>
      </c>
      <c r="BY9" s="27">
        <v>0</v>
      </c>
      <c r="BZ9" s="27" t="s">
        <v>99</v>
      </c>
      <c r="CA9" s="27" t="s">
        <v>100</v>
      </c>
      <c r="CB9" s="27" t="s">
        <v>101</v>
      </c>
      <c r="CC9" s="28">
        <v>45847</v>
      </c>
    </row>
    <row r="10" spans="1:83" x14ac:dyDescent="0.3">
      <c r="A10" s="30" t="s">
        <v>294</v>
      </c>
      <c r="B10" s="30" t="s">
        <v>305</v>
      </c>
      <c r="C10" s="27" t="s">
        <v>317</v>
      </c>
      <c r="D10" s="27">
        <v>2019</v>
      </c>
      <c r="E10" s="30" t="s">
        <v>319</v>
      </c>
      <c r="F10" s="30" t="s">
        <v>320</v>
      </c>
      <c r="G10" s="27" t="s">
        <v>78</v>
      </c>
      <c r="H10" s="27">
        <v>1</v>
      </c>
      <c r="I10" s="27" t="s">
        <v>291</v>
      </c>
      <c r="J10" s="27" t="s">
        <v>79</v>
      </c>
      <c r="L10" s="27" t="s">
        <v>129</v>
      </c>
      <c r="M10" s="27" t="s">
        <v>381</v>
      </c>
      <c r="N10" s="27">
        <v>0.01</v>
      </c>
      <c r="O10" s="27">
        <v>0.1</v>
      </c>
      <c r="P10" s="31">
        <f t="shared" si="0"/>
        <v>9.9999999999999992E-2</v>
      </c>
      <c r="Q10" s="27" t="s">
        <v>313</v>
      </c>
      <c r="R10" s="27" t="s">
        <v>313</v>
      </c>
      <c r="S10" s="27" t="s">
        <v>313</v>
      </c>
      <c r="T10" s="27">
        <v>258</v>
      </c>
      <c r="U10" s="27">
        <v>20</v>
      </c>
      <c r="V10" s="27">
        <f t="shared" si="1"/>
        <v>238</v>
      </c>
      <c r="W10" s="27">
        <f t="shared" si="2"/>
        <v>6.4819010625599459E-3</v>
      </c>
      <c r="X10" s="27">
        <f t="shared" si="3"/>
        <v>6.4819010625599471E-2</v>
      </c>
      <c r="Y10" s="27">
        <f t="shared" si="4"/>
        <v>6.4819010625599459E-3</v>
      </c>
      <c r="Z10" s="27" t="s">
        <v>81</v>
      </c>
      <c r="AA10" s="32">
        <f>(N10*AF10)/(10*AU10)</f>
        <v>8.282608695652174E-4</v>
      </c>
      <c r="AB10" s="32">
        <f>O10*AF10/(10*AU10)</f>
        <v>8.2826086956521751E-3</v>
      </c>
      <c r="AC10" s="32">
        <f t="shared" si="5"/>
        <v>8.282608695652174E-4</v>
      </c>
      <c r="AD10" s="27" t="s">
        <v>82</v>
      </c>
      <c r="AE10" s="27" t="s">
        <v>297</v>
      </c>
      <c r="AF10" s="27">
        <v>99.06</v>
      </c>
      <c r="AG10" s="27">
        <v>49.79</v>
      </c>
      <c r="AH10" s="27">
        <v>23.55</v>
      </c>
      <c r="AI10" s="27">
        <v>342.58</v>
      </c>
      <c r="AJ10" s="27" t="s">
        <v>83</v>
      </c>
      <c r="AK10" s="27" t="s">
        <v>133</v>
      </c>
      <c r="AL10" s="27" t="s">
        <v>85</v>
      </c>
      <c r="AM10" s="27" t="s">
        <v>86</v>
      </c>
      <c r="AN10" s="27">
        <v>0</v>
      </c>
      <c r="AO10" s="27">
        <v>0</v>
      </c>
      <c r="AP10" s="27" t="s">
        <v>87</v>
      </c>
      <c r="AQ10" s="27" t="s">
        <v>88</v>
      </c>
      <c r="AR10" s="27" t="s">
        <v>89</v>
      </c>
      <c r="AS10" s="27" t="s">
        <v>114</v>
      </c>
      <c r="AT10" s="27" t="s">
        <v>293</v>
      </c>
      <c r="AU10" s="27">
        <v>119.6</v>
      </c>
      <c r="AV10" s="27" t="s">
        <v>313</v>
      </c>
      <c r="AW10" s="27" t="s">
        <v>313</v>
      </c>
      <c r="AX10" s="27" t="s">
        <v>313</v>
      </c>
      <c r="AY10" s="27" t="s">
        <v>91</v>
      </c>
      <c r="AZ10" s="27" t="s">
        <v>137</v>
      </c>
      <c r="BA10" s="27" t="s">
        <v>376</v>
      </c>
      <c r="BB10" s="27" t="s">
        <v>290</v>
      </c>
      <c r="BC10" s="27" t="s">
        <v>316</v>
      </c>
      <c r="BD10" s="27" t="s">
        <v>117</v>
      </c>
      <c r="BE10" s="27" t="s">
        <v>93</v>
      </c>
      <c r="BF10" s="27" t="s">
        <v>313</v>
      </c>
      <c r="BG10" s="27" t="s">
        <v>313</v>
      </c>
      <c r="BH10" s="28">
        <v>42005</v>
      </c>
      <c r="BI10" s="28">
        <v>42155</v>
      </c>
      <c r="BJ10" s="27" t="s">
        <v>94</v>
      </c>
      <c r="BK10" s="27" t="s">
        <v>95</v>
      </c>
      <c r="BL10" s="27" t="s">
        <v>96</v>
      </c>
      <c r="BM10" s="27">
        <v>0</v>
      </c>
      <c r="BN10" s="27">
        <v>0</v>
      </c>
      <c r="BO10" s="27" t="s">
        <v>313</v>
      </c>
      <c r="BP10" s="27" t="s">
        <v>314</v>
      </c>
      <c r="BQ10" s="27">
        <v>0</v>
      </c>
      <c r="BR10" s="27" t="s">
        <v>97</v>
      </c>
      <c r="BS10" s="27">
        <v>0</v>
      </c>
      <c r="BT10" s="27" t="s">
        <v>97</v>
      </c>
      <c r="BU10" s="27">
        <v>1</v>
      </c>
      <c r="BV10" s="27" t="s">
        <v>318</v>
      </c>
      <c r="BW10" s="27" t="s">
        <v>98</v>
      </c>
      <c r="BX10" s="27">
        <v>64</v>
      </c>
      <c r="BY10" s="27">
        <v>0</v>
      </c>
      <c r="BZ10" s="27" t="s">
        <v>99</v>
      </c>
      <c r="CA10" s="27" t="s">
        <v>100</v>
      </c>
      <c r="CB10" s="27" t="s">
        <v>101</v>
      </c>
      <c r="CC10" s="28">
        <v>45847</v>
      </c>
    </row>
    <row r="11" spans="1:83" x14ac:dyDescent="0.3">
      <c r="A11" s="30" t="s">
        <v>294</v>
      </c>
      <c r="B11" s="30" t="s">
        <v>306</v>
      </c>
      <c r="C11" s="27" t="s">
        <v>317</v>
      </c>
      <c r="D11" s="27">
        <v>2019</v>
      </c>
      <c r="E11" s="30" t="s">
        <v>319</v>
      </c>
      <c r="F11" s="30" t="s">
        <v>320</v>
      </c>
      <c r="G11" s="27" t="s">
        <v>78</v>
      </c>
      <c r="H11" s="27">
        <v>1</v>
      </c>
      <c r="I11" s="27" t="s">
        <v>291</v>
      </c>
      <c r="J11" s="27" t="s">
        <v>79</v>
      </c>
      <c r="L11" s="27" t="s">
        <v>129</v>
      </c>
      <c r="M11" s="27" t="s">
        <v>381</v>
      </c>
      <c r="N11" s="27">
        <v>0.12</v>
      </c>
      <c r="O11" s="27">
        <v>0.11</v>
      </c>
      <c r="P11" s="31">
        <f t="shared" si="0"/>
        <v>1.0909090909090908</v>
      </c>
      <c r="Q11" s="27" t="s">
        <v>313</v>
      </c>
      <c r="R11" s="27" t="s">
        <v>313</v>
      </c>
      <c r="S11" s="27" t="s">
        <v>313</v>
      </c>
      <c r="T11" s="27">
        <v>258</v>
      </c>
      <c r="U11" s="27">
        <v>20</v>
      </c>
      <c r="V11" s="27">
        <f t="shared" si="1"/>
        <v>238</v>
      </c>
      <c r="W11" s="27">
        <f t="shared" si="2"/>
        <v>7.0536998644220611E-2</v>
      </c>
      <c r="X11" s="27">
        <f t="shared" si="3"/>
        <v>6.4658915423868896E-2</v>
      </c>
      <c r="Y11" s="27">
        <f t="shared" si="4"/>
        <v>7.0536998644220611E-2</v>
      </c>
      <c r="Z11" s="27" t="s">
        <v>81</v>
      </c>
      <c r="AA11" s="32">
        <f>(N11*AF11)/(10*AU11)</f>
        <v>6.1173913043478263E-3</v>
      </c>
      <c r="AB11" s="32">
        <f>O11*AF11/(10*AU11)</f>
        <v>5.6076086956521739E-3</v>
      </c>
      <c r="AC11" s="32">
        <f t="shared" si="5"/>
        <v>6.1173913043478263E-3</v>
      </c>
      <c r="AD11" s="27" t="s">
        <v>159</v>
      </c>
      <c r="AE11" s="27" t="s">
        <v>297</v>
      </c>
      <c r="AF11" s="27">
        <v>60.97</v>
      </c>
      <c r="AG11" s="27">
        <v>40.840000000000003</v>
      </c>
      <c r="AH11" s="27">
        <v>8.33</v>
      </c>
      <c r="AI11" s="27">
        <v>293.10000000000002</v>
      </c>
      <c r="AJ11" s="27" t="s">
        <v>83</v>
      </c>
      <c r="AK11" s="27" t="s">
        <v>133</v>
      </c>
      <c r="AL11" s="27" t="s">
        <v>85</v>
      </c>
      <c r="AM11" s="27" t="s">
        <v>86</v>
      </c>
      <c r="AN11" s="27">
        <v>0</v>
      </c>
      <c r="AO11" s="27">
        <v>0</v>
      </c>
      <c r="AP11" s="27" t="s">
        <v>87</v>
      </c>
      <c r="AQ11" s="27" t="s">
        <v>88</v>
      </c>
      <c r="AR11" s="27" t="s">
        <v>89</v>
      </c>
      <c r="AS11" s="27" t="s">
        <v>114</v>
      </c>
      <c r="AT11" s="27" t="s">
        <v>293</v>
      </c>
      <c r="AU11" s="27">
        <v>119.6</v>
      </c>
      <c r="AV11" s="27" t="s">
        <v>313</v>
      </c>
      <c r="AW11" s="27" t="s">
        <v>313</v>
      </c>
      <c r="AX11" s="27" t="s">
        <v>313</v>
      </c>
      <c r="AY11" s="27" t="s">
        <v>91</v>
      </c>
      <c r="AZ11" s="27" t="s">
        <v>137</v>
      </c>
      <c r="BA11" s="27" t="s">
        <v>376</v>
      </c>
      <c r="BB11" s="27" t="s">
        <v>290</v>
      </c>
      <c r="BC11" s="27" t="s">
        <v>316</v>
      </c>
      <c r="BD11" s="27" t="s">
        <v>117</v>
      </c>
      <c r="BE11" s="27" t="s">
        <v>93</v>
      </c>
      <c r="BF11" s="27" t="s">
        <v>313</v>
      </c>
      <c r="BG11" s="27" t="s">
        <v>313</v>
      </c>
      <c r="BH11" s="28">
        <v>42005</v>
      </c>
      <c r="BI11" s="28">
        <v>42155</v>
      </c>
      <c r="BJ11" s="27" t="s">
        <v>94</v>
      </c>
      <c r="BK11" s="27" t="s">
        <v>95</v>
      </c>
      <c r="BL11" s="27" t="s">
        <v>96</v>
      </c>
      <c r="BM11" s="27">
        <v>0</v>
      </c>
      <c r="BN11" s="27">
        <v>0</v>
      </c>
      <c r="BO11" s="27" t="s">
        <v>313</v>
      </c>
      <c r="BP11" s="27" t="s">
        <v>314</v>
      </c>
      <c r="BQ11" s="27">
        <v>0</v>
      </c>
      <c r="BR11" s="27" t="s">
        <v>97</v>
      </c>
      <c r="BS11" s="27">
        <v>0</v>
      </c>
      <c r="BT11" s="27" t="s">
        <v>97</v>
      </c>
      <c r="BU11" s="27">
        <v>1</v>
      </c>
      <c r="BV11" s="27" t="s">
        <v>318</v>
      </c>
      <c r="BW11" s="27" t="s">
        <v>98</v>
      </c>
      <c r="BX11" s="27">
        <v>64</v>
      </c>
      <c r="BY11" s="27">
        <v>0</v>
      </c>
      <c r="BZ11" s="27" t="s">
        <v>99</v>
      </c>
      <c r="CA11" s="27" t="s">
        <v>100</v>
      </c>
      <c r="CB11" s="27" t="s">
        <v>101</v>
      </c>
      <c r="CC11" s="28">
        <v>45847</v>
      </c>
    </row>
    <row r="12" spans="1:83" x14ac:dyDescent="0.3">
      <c r="A12" s="30" t="s">
        <v>294</v>
      </c>
      <c r="B12" s="30" t="s">
        <v>307</v>
      </c>
      <c r="C12" s="27" t="s">
        <v>317</v>
      </c>
      <c r="D12" s="27">
        <v>2019</v>
      </c>
      <c r="E12" s="30" t="s">
        <v>319</v>
      </c>
      <c r="F12" s="30" t="s">
        <v>320</v>
      </c>
      <c r="G12" s="27" t="s">
        <v>78</v>
      </c>
      <c r="H12" s="27">
        <v>1</v>
      </c>
      <c r="I12" s="27" t="s">
        <v>291</v>
      </c>
      <c r="J12" s="27" t="s">
        <v>79</v>
      </c>
      <c r="L12" s="27" t="s">
        <v>129</v>
      </c>
      <c r="M12" s="27" t="s">
        <v>381</v>
      </c>
      <c r="N12" s="27">
        <v>-0.04</v>
      </c>
      <c r="O12" s="27">
        <v>0.12</v>
      </c>
      <c r="P12" s="31">
        <f t="shared" si="0"/>
        <v>-0.33333333333333337</v>
      </c>
      <c r="Q12" s="27" t="s">
        <v>313</v>
      </c>
      <c r="R12" s="27" t="s">
        <v>313</v>
      </c>
      <c r="S12" s="27" t="s">
        <v>313</v>
      </c>
      <c r="T12" s="27">
        <v>258</v>
      </c>
      <c r="U12" s="27">
        <v>20</v>
      </c>
      <c r="V12" s="27">
        <f t="shared" si="1"/>
        <v>238</v>
      </c>
      <c r="W12" s="27">
        <f t="shared" si="2"/>
        <v>-2.1601748948395161E-2</v>
      </c>
      <c r="X12" s="27">
        <f t="shared" si="3"/>
        <v>6.4805246845185474E-2</v>
      </c>
      <c r="Y12" s="27">
        <f t="shared" si="4"/>
        <v>-2.1601748948395161E-2</v>
      </c>
      <c r="Z12" s="27" t="s">
        <v>81</v>
      </c>
      <c r="AA12" s="32">
        <f>(N12*AF12)/(10*AU12)</f>
        <v>-3.3130434782608696E-3</v>
      </c>
      <c r="AB12" s="32">
        <f>O12*AF12/(10*AU12)</f>
        <v>9.9391304347826084E-3</v>
      </c>
      <c r="AC12" s="32">
        <f t="shared" si="5"/>
        <v>-3.3130434782608696E-3</v>
      </c>
      <c r="AD12" s="27" t="s">
        <v>82</v>
      </c>
      <c r="AE12" s="27" t="s">
        <v>297</v>
      </c>
      <c r="AF12" s="27">
        <v>99.06</v>
      </c>
      <c r="AG12" s="27">
        <v>49.79</v>
      </c>
      <c r="AH12" s="27">
        <v>23.55</v>
      </c>
      <c r="AI12" s="27">
        <v>342.58</v>
      </c>
      <c r="AJ12" s="27" t="s">
        <v>83</v>
      </c>
      <c r="AK12" s="27" t="s">
        <v>133</v>
      </c>
      <c r="AL12" s="27" t="s">
        <v>85</v>
      </c>
      <c r="AM12" s="27" t="s">
        <v>86</v>
      </c>
      <c r="AN12" s="27">
        <v>0</v>
      </c>
      <c r="AO12" s="27">
        <v>0</v>
      </c>
      <c r="AP12" s="27" t="s">
        <v>87</v>
      </c>
      <c r="AQ12" s="27" t="s">
        <v>88</v>
      </c>
      <c r="AR12" s="27" t="s">
        <v>89</v>
      </c>
      <c r="AS12" s="27" t="s">
        <v>114</v>
      </c>
      <c r="AT12" s="27" t="s">
        <v>293</v>
      </c>
      <c r="AU12" s="27">
        <v>119.6</v>
      </c>
      <c r="AV12" s="27" t="s">
        <v>313</v>
      </c>
      <c r="AW12" s="27" t="s">
        <v>313</v>
      </c>
      <c r="AX12" s="27" t="s">
        <v>313</v>
      </c>
      <c r="AY12" s="27" t="s">
        <v>91</v>
      </c>
      <c r="AZ12" s="27" t="s">
        <v>137</v>
      </c>
      <c r="BA12" s="27" t="s">
        <v>376</v>
      </c>
      <c r="BB12" s="27" t="s">
        <v>290</v>
      </c>
      <c r="BC12" s="27" t="s">
        <v>316</v>
      </c>
      <c r="BD12" s="27" t="s">
        <v>117</v>
      </c>
      <c r="BE12" s="27" t="s">
        <v>93</v>
      </c>
      <c r="BF12" s="27" t="s">
        <v>313</v>
      </c>
      <c r="BG12" s="27" t="s">
        <v>313</v>
      </c>
      <c r="BH12" s="28">
        <v>42005</v>
      </c>
      <c r="BI12" s="28">
        <v>42155</v>
      </c>
      <c r="BJ12" s="27" t="s">
        <v>94</v>
      </c>
      <c r="BK12" s="27" t="s">
        <v>95</v>
      </c>
      <c r="BL12" s="27" t="s">
        <v>140</v>
      </c>
      <c r="BM12" s="27">
        <v>1</v>
      </c>
      <c r="BN12" s="27">
        <v>1</v>
      </c>
      <c r="BO12" s="27" t="s">
        <v>304</v>
      </c>
      <c r="BP12" s="27" t="s">
        <v>314</v>
      </c>
      <c r="BQ12" s="27">
        <v>0</v>
      </c>
      <c r="BR12" s="27" t="s">
        <v>97</v>
      </c>
      <c r="BS12" s="27">
        <v>0</v>
      </c>
      <c r="BT12" s="27" t="s">
        <v>97</v>
      </c>
      <c r="BU12" s="27">
        <v>1</v>
      </c>
      <c r="BV12" s="27" t="s">
        <v>318</v>
      </c>
      <c r="BW12" s="27" t="s">
        <v>98</v>
      </c>
      <c r="BX12" s="27">
        <v>64</v>
      </c>
      <c r="BY12" s="27">
        <v>0</v>
      </c>
      <c r="BZ12" s="27" t="s">
        <v>99</v>
      </c>
      <c r="CA12" s="27" t="s">
        <v>100</v>
      </c>
      <c r="CB12" s="27" t="s">
        <v>101</v>
      </c>
      <c r="CC12" s="28">
        <v>45847</v>
      </c>
    </row>
    <row r="13" spans="1:83" x14ac:dyDescent="0.3">
      <c r="A13" s="30" t="s">
        <v>294</v>
      </c>
      <c r="B13" s="30" t="s">
        <v>308</v>
      </c>
      <c r="C13" s="27" t="s">
        <v>317</v>
      </c>
      <c r="D13" s="27">
        <v>2019</v>
      </c>
      <c r="E13" s="30" t="s">
        <v>319</v>
      </c>
      <c r="F13" s="30" t="s">
        <v>320</v>
      </c>
      <c r="G13" s="27" t="s">
        <v>78</v>
      </c>
      <c r="H13" s="27">
        <v>1</v>
      </c>
      <c r="I13" s="27" t="s">
        <v>291</v>
      </c>
      <c r="J13" s="27" t="s">
        <v>79</v>
      </c>
      <c r="L13" s="27" t="s">
        <v>129</v>
      </c>
      <c r="M13" s="27" t="s">
        <v>381</v>
      </c>
      <c r="N13" s="27">
        <v>0.17</v>
      </c>
      <c r="O13" s="27">
        <v>0.11</v>
      </c>
      <c r="P13" s="31">
        <f t="shared" si="0"/>
        <v>1.5454545454545456</v>
      </c>
      <c r="Q13" s="27" t="s">
        <v>313</v>
      </c>
      <c r="R13" s="27" t="s">
        <v>313</v>
      </c>
      <c r="S13" s="27" t="s">
        <v>313</v>
      </c>
      <c r="T13" s="27">
        <v>258</v>
      </c>
      <c r="U13" s="27">
        <v>20</v>
      </c>
      <c r="V13" s="27">
        <f t="shared" si="1"/>
        <v>238</v>
      </c>
      <c r="W13" s="27">
        <f t="shared" si="2"/>
        <v>9.9678032239035361E-2</v>
      </c>
      <c r="X13" s="27">
        <f t="shared" si="3"/>
        <v>6.4497550272316989E-2</v>
      </c>
      <c r="Y13" s="27">
        <f t="shared" si="4"/>
        <v>9.9678032239035361E-2</v>
      </c>
      <c r="Z13" s="27" t="s">
        <v>81</v>
      </c>
      <c r="AA13" s="32">
        <f>(N13*AF13)/(10*AU13)</f>
        <v>8.6663043478260871E-3</v>
      </c>
      <c r="AB13" s="32">
        <f>O13*AF13/(10*AU13)</f>
        <v>5.6076086956521739E-3</v>
      </c>
      <c r="AC13" s="32">
        <f t="shared" si="5"/>
        <v>8.6663043478260871E-3</v>
      </c>
      <c r="AD13" s="27" t="s">
        <v>159</v>
      </c>
      <c r="AE13" s="27" t="s">
        <v>297</v>
      </c>
      <c r="AF13" s="27">
        <v>60.97</v>
      </c>
      <c r="AG13" s="27">
        <v>40.840000000000003</v>
      </c>
      <c r="AH13" s="27">
        <v>8.33</v>
      </c>
      <c r="AI13" s="27">
        <v>293.10000000000002</v>
      </c>
      <c r="AJ13" s="27" t="s">
        <v>83</v>
      </c>
      <c r="AK13" s="27" t="s">
        <v>133</v>
      </c>
      <c r="AL13" s="27" t="s">
        <v>85</v>
      </c>
      <c r="AM13" s="27" t="s">
        <v>86</v>
      </c>
      <c r="AN13" s="27">
        <v>0</v>
      </c>
      <c r="AO13" s="27">
        <v>0</v>
      </c>
      <c r="AP13" s="27" t="s">
        <v>87</v>
      </c>
      <c r="AQ13" s="27" t="s">
        <v>88</v>
      </c>
      <c r="AR13" s="27" t="s">
        <v>89</v>
      </c>
      <c r="AS13" s="27" t="s">
        <v>114</v>
      </c>
      <c r="AT13" s="27" t="s">
        <v>293</v>
      </c>
      <c r="AU13" s="27">
        <v>119.6</v>
      </c>
      <c r="AV13" s="27" t="s">
        <v>313</v>
      </c>
      <c r="AW13" s="27" t="s">
        <v>313</v>
      </c>
      <c r="AX13" s="27" t="s">
        <v>313</v>
      </c>
      <c r="AY13" s="27" t="s">
        <v>91</v>
      </c>
      <c r="AZ13" s="27" t="s">
        <v>137</v>
      </c>
      <c r="BA13" s="27" t="s">
        <v>376</v>
      </c>
      <c r="BB13" s="27" t="s">
        <v>290</v>
      </c>
      <c r="BC13" s="27" t="s">
        <v>316</v>
      </c>
      <c r="BD13" s="27" t="s">
        <v>117</v>
      </c>
      <c r="BE13" s="27" t="s">
        <v>93</v>
      </c>
      <c r="BF13" s="27" t="s">
        <v>313</v>
      </c>
      <c r="BG13" s="27" t="s">
        <v>313</v>
      </c>
      <c r="BH13" s="28">
        <v>42005</v>
      </c>
      <c r="BI13" s="28">
        <v>42155</v>
      </c>
      <c r="BJ13" s="27" t="s">
        <v>94</v>
      </c>
      <c r="BK13" s="27" t="s">
        <v>95</v>
      </c>
      <c r="BL13" s="27" t="s">
        <v>140</v>
      </c>
      <c r="BM13" s="27">
        <v>1</v>
      </c>
      <c r="BN13" s="27">
        <v>1</v>
      </c>
      <c r="BO13" s="27" t="s">
        <v>304</v>
      </c>
      <c r="BP13" s="27" t="s">
        <v>314</v>
      </c>
      <c r="BQ13" s="27">
        <v>0</v>
      </c>
      <c r="BR13" s="27" t="s">
        <v>97</v>
      </c>
      <c r="BS13" s="27">
        <v>0</v>
      </c>
      <c r="BT13" s="27" t="s">
        <v>97</v>
      </c>
      <c r="BU13" s="27">
        <v>1</v>
      </c>
      <c r="BV13" s="27" t="s">
        <v>318</v>
      </c>
      <c r="BW13" s="27" t="s">
        <v>98</v>
      </c>
      <c r="BX13" s="27">
        <v>64</v>
      </c>
      <c r="BY13" s="27">
        <v>0</v>
      </c>
      <c r="BZ13" s="27" t="s">
        <v>99</v>
      </c>
      <c r="CA13" s="27" t="s">
        <v>100</v>
      </c>
      <c r="CB13" s="27" t="s">
        <v>101</v>
      </c>
      <c r="CC13" s="28">
        <v>45847</v>
      </c>
    </row>
    <row r="14" spans="1:83" x14ac:dyDescent="0.3">
      <c r="A14" s="30" t="s">
        <v>294</v>
      </c>
      <c r="B14" s="30" t="s">
        <v>309</v>
      </c>
      <c r="C14" s="27" t="s">
        <v>317</v>
      </c>
      <c r="D14" s="27">
        <v>2019</v>
      </c>
      <c r="E14" s="30" t="s">
        <v>319</v>
      </c>
      <c r="F14" s="30" t="s">
        <v>320</v>
      </c>
      <c r="G14" s="27" t="s">
        <v>78</v>
      </c>
      <c r="H14" s="27">
        <v>1</v>
      </c>
      <c r="I14" s="27" t="s">
        <v>291</v>
      </c>
      <c r="J14" s="27" t="s">
        <v>79</v>
      </c>
      <c r="L14" s="27" t="s">
        <v>129</v>
      </c>
      <c r="M14" s="27" t="s">
        <v>381</v>
      </c>
      <c r="N14" s="27">
        <v>-0.04</v>
      </c>
      <c r="O14" s="27">
        <v>0.11</v>
      </c>
      <c r="P14" s="31">
        <f t="shared" si="0"/>
        <v>-0.36363636363636365</v>
      </c>
      <c r="Q14" s="27" t="s">
        <v>313</v>
      </c>
      <c r="R14" s="27" t="s">
        <v>313</v>
      </c>
      <c r="S14" s="27" t="s">
        <v>313</v>
      </c>
      <c r="T14" s="27">
        <v>2085</v>
      </c>
      <c r="U14" s="27">
        <v>65</v>
      </c>
      <c r="V14" s="27">
        <f t="shared" si="1"/>
        <v>2020</v>
      </c>
      <c r="W14" s="27">
        <f t="shared" si="2"/>
        <v>-8.0905380964238494E-3</v>
      </c>
      <c r="X14" s="27">
        <f t="shared" si="3"/>
        <v>2.2248979765165586E-2</v>
      </c>
      <c r="Y14" s="27">
        <f t="shared" si="4"/>
        <v>-8.0905380964238494E-3</v>
      </c>
      <c r="Z14" s="27" t="s">
        <v>81</v>
      </c>
      <c r="AA14" s="32">
        <f>(N14*AF14)/(10*AU14)</f>
        <v>-3.3130434782608696E-3</v>
      </c>
      <c r="AB14" s="32">
        <f>O14*AF14/(10*AU14)</f>
        <v>9.1108695652173926E-3</v>
      </c>
      <c r="AC14" s="32">
        <f t="shared" si="5"/>
        <v>-3.3130434782608696E-3</v>
      </c>
      <c r="AD14" s="27" t="s">
        <v>82</v>
      </c>
      <c r="AE14" s="27" t="s">
        <v>297</v>
      </c>
      <c r="AF14" s="27">
        <v>99.06</v>
      </c>
      <c r="AG14" s="27">
        <v>49.79</v>
      </c>
      <c r="AH14" s="27">
        <v>23.55</v>
      </c>
      <c r="AI14" s="27">
        <v>342.58</v>
      </c>
      <c r="AJ14" s="27" t="s">
        <v>83</v>
      </c>
      <c r="AK14" s="27" t="s">
        <v>133</v>
      </c>
      <c r="AL14" s="27" t="s">
        <v>85</v>
      </c>
      <c r="AM14" s="27" t="s">
        <v>86</v>
      </c>
      <c r="AN14" s="27">
        <v>0</v>
      </c>
      <c r="AO14" s="27">
        <v>0</v>
      </c>
      <c r="AP14" s="27" t="s">
        <v>87</v>
      </c>
      <c r="AQ14" s="27" t="s">
        <v>88</v>
      </c>
      <c r="AR14" s="27" t="s">
        <v>89</v>
      </c>
      <c r="AS14" s="27" t="s">
        <v>114</v>
      </c>
      <c r="AT14" s="27" t="s">
        <v>293</v>
      </c>
      <c r="AU14" s="27">
        <v>119.6</v>
      </c>
      <c r="AV14" s="27" t="s">
        <v>313</v>
      </c>
      <c r="AW14" s="27" t="s">
        <v>313</v>
      </c>
      <c r="AX14" s="27" t="s">
        <v>313</v>
      </c>
      <c r="AY14" s="27" t="s">
        <v>91</v>
      </c>
      <c r="AZ14" s="27" t="s">
        <v>84</v>
      </c>
      <c r="BA14" s="27" t="s">
        <v>376</v>
      </c>
      <c r="BB14" s="27" t="s">
        <v>290</v>
      </c>
      <c r="BC14" s="27" t="s">
        <v>316</v>
      </c>
      <c r="BD14" s="27" t="s">
        <v>117</v>
      </c>
      <c r="BE14" s="27" t="s">
        <v>93</v>
      </c>
      <c r="BF14" s="27" t="s">
        <v>313</v>
      </c>
      <c r="BG14" s="27" t="s">
        <v>313</v>
      </c>
      <c r="BH14" s="28">
        <v>42005</v>
      </c>
      <c r="BI14" s="28">
        <v>42155</v>
      </c>
      <c r="BJ14" s="27" t="s">
        <v>94</v>
      </c>
      <c r="BK14" s="27" t="s">
        <v>95</v>
      </c>
      <c r="BL14" s="27" t="s">
        <v>96</v>
      </c>
      <c r="BM14" s="27">
        <v>0</v>
      </c>
      <c r="BN14" s="27">
        <v>0</v>
      </c>
      <c r="BO14" s="27" t="s">
        <v>313</v>
      </c>
      <c r="BP14" s="27" t="s">
        <v>315</v>
      </c>
      <c r="BQ14" s="27">
        <v>0</v>
      </c>
      <c r="BR14" s="27" t="s">
        <v>97</v>
      </c>
      <c r="BS14" s="27">
        <v>0</v>
      </c>
      <c r="BT14" s="27" t="s">
        <v>97</v>
      </c>
      <c r="BU14" s="27">
        <v>1</v>
      </c>
      <c r="BV14" s="27" t="s">
        <v>377</v>
      </c>
      <c r="BW14" s="27" t="s">
        <v>98</v>
      </c>
      <c r="BX14" s="27">
        <v>64</v>
      </c>
      <c r="BY14" s="27">
        <v>0</v>
      </c>
      <c r="BZ14" s="27" t="s">
        <v>99</v>
      </c>
      <c r="CA14" s="27" t="s">
        <v>100</v>
      </c>
      <c r="CB14" s="27" t="s">
        <v>101</v>
      </c>
      <c r="CC14" s="28">
        <v>45847</v>
      </c>
    </row>
    <row r="15" spans="1:83" x14ac:dyDescent="0.3">
      <c r="A15" s="30" t="s">
        <v>294</v>
      </c>
      <c r="B15" s="30" t="s">
        <v>310</v>
      </c>
      <c r="C15" s="27" t="s">
        <v>317</v>
      </c>
      <c r="D15" s="27">
        <v>2019</v>
      </c>
      <c r="E15" s="30" t="s">
        <v>319</v>
      </c>
      <c r="F15" s="30" t="s">
        <v>320</v>
      </c>
      <c r="G15" s="27" t="s">
        <v>78</v>
      </c>
      <c r="H15" s="27">
        <v>1</v>
      </c>
      <c r="I15" s="27" t="s">
        <v>291</v>
      </c>
      <c r="J15" s="27" t="s">
        <v>79</v>
      </c>
      <c r="L15" s="27" t="s">
        <v>129</v>
      </c>
      <c r="M15" s="27" t="s">
        <v>381</v>
      </c>
      <c r="N15" s="27">
        <v>0.1</v>
      </c>
      <c r="O15" s="27">
        <v>0.1</v>
      </c>
      <c r="P15" s="31">
        <f t="shared" si="0"/>
        <v>1</v>
      </c>
      <c r="Q15" s="27" t="s">
        <v>313</v>
      </c>
      <c r="R15" s="27" t="s">
        <v>313</v>
      </c>
      <c r="S15" s="27" t="s">
        <v>313</v>
      </c>
      <c r="T15" s="27">
        <v>2085</v>
      </c>
      <c r="U15" s="27">
        <v>65</v>
      </c>
      <c r="V15" s="27">
        <f t="shared" si="1"/>
        <v>2020</v>
      </c>
      <c r="W15" s="27">
        <f t="shared" si="2"/>
        <v>2.2244202665006454E-2</v>
      </c>
      <c r="X15" s="27">
        <f t="shared" si="3"/>
        <v>2.2244202665006457E-2</v>
      </c>
      <c r="Y15" s="27">
        <f t="shared" si="4"/>
        <v>2.2244202665006454E-2</v>
      </c>
      <c r="Z15" s="27" t="s">
        <v>81</v>
      </c>
      <c r="AA15" s="32">
        <f>(N15*AF15)/(10*AU15)</f>
        <v>5.0978260869565225E-3</v>
      </c>
      <c r="AB15" s="32">
        <f>O15*AF15/(10*AU15)</f>
        <v>5.0978260869565225E-3</v>
      </c>
      <c r="AC15" s="32">
        <f t="shared" si="5"/>
        <v>5.0978260869565225E-3</v>
      </c>
      <c r="AD15" s="27" t="s">
        <v>159</v>
      </c>
      <c r="AE15" s="27" t="s">
        <v>297</v>
      </c>
      <c r="AF15" s="27">
        <v>60.97</v>
      </c>
      <c r="AG15" s="27">
        <v>40.840000000000003</v>
      </c>
      <c r="AH15" s="27">
        <v>8.33</v>
      </c>
      <c r="AI15" s="27">
        <v>293.10000000000002</v>
      </c>
      <c r="AJ15" s="27" t="s">
        <v>83</v>
      </c>
      <c r="AK15" s="27" t="s">
        <v>133</v>
      </c>
      <c r="AL15" s="27" t="s">
        <v>85</v>
      </c>
      <c r="AM15" s="27" t="s">
        <v>86</v>
      </c>
      <c r="AN15" s="27">
        <v>0</v>
      </c>
      <c r="AO15" s="27">
        <v>0</v>
      </c>
      <c r="AP15" s="27" t="s">
        <v>87</v>
      </c>
      <c r="AQ15" s="27" t="s">
        <v>88</v>
      </c>
      <c r="AR15" s="27" t="s">
        <v>89</v>
      </c>
      <c r="AS15" s="27" t="s">
        <v>114</v>
      </c>
      <c r="AT15" s="27" t="s">
        <v>293</v>
      </c>
      <c r="AU15" s="27">
        <v>119.6</v>
      </c>
      <c r="AV15" s="27" t="s">
        <v>313</v>
      </c>
      <c r="AW15" s="27" t="s">
        <v>313</v>
      </c>
      <c r="AX15" s="27" t="s">
        <v>313</v>
      </c>
      <c r="AY15" s="27" t="s">
        <v>91</v>
      </c>
      <c r="AZ15" s="27" t="s">
        <v>84</v>
      </c>
      <c r="BA15" s="27" t="s">
        <v>376</v>
      </c>
      <c r="BB15" s="27" t="s">
        <v>290</v>
      </c>
      <c r="BC15" s="27" t="s">
        <v>316</v>
      </c>
      <c r="BD15" s="27" t="s">
        <v>117</v>
      </c>
      <c r="BE15" s="27" t="s">
        <v>93</v>
      </c>
      <c r="BF15" s="27" t="s">
        <v>313</v>
      </c>
      <c r="BG15" s="27" t="s">
        <v>313</v>
      </c>
      <c r="BH15" s="28">
        <v>42005</v>
      </c>
      <c r="BI15" s="28">
        <v>42155</v>
      </c>
      <c r="BJ15" s="27" t="s">
        <v>94</v>
      </c>
      <c r="BK15" s="27" t="s">
        <v>95</v>
      </c>
      <c r="BL15" s="27" t="s">
        <v>96</v>
      </c>
      <c r="BM15" s="27">
        <v>0</v>
      </c>
      <c r="BN15" s="27">
        <v>0</v>
      </c>
      <c r="BO15" s="27" t="s">
        <v>313</v>
      </c>
      <c r="BP15" s="27" t="s">
        <v>315</v>
      </c>
      <c r="BQ15" s="27">
        <v>0</v>
      </c>
      <c r="BR15" s="27" t="s">
        <v>97</v>
      </c>
      <c r="BS15" s="27">
        <v>0</v>
      </c>
      <c r="BT15" s="27" t="s">
        <v>97</v>
      </c>
      <c r="BU15" s="27">
        <v>1</v>
      </c>
      <c r="BV15" s="27" t="s">
        <v>377</v>
      </c>
      <c r="BW15" s="27" t="s">
        <v>98</v>
      </c>
      <c r="BX15" s="27">
        <v>64</v>
      </c>
      <c r="BY15" s="27">
        <v>0</v>
      </c>
      <c r="BZ15" s="27" t="s">
        <v>99</v>
      </c>
      <c r="CA15" s="27" t="s">
        <v>100</v>
      </c>
      <c r="CB15" s="27" t="s">
        <v>101</v>
      </c>
      <c r="CC15" s="28">
        <v>45847</v>
      </c>
    </row>
    <row r="16" spans="1:83" x14ac:dyDescent="0.3">
      <c r="A16" s="30" t="s">
        <v>294</v>
      </c>
      <c r="B16" s="30" t="s">
        <v>311</v>
      </c>
      <c r="C16" s="27" t="s">
        <v>317</v>
      </c>
      <c r="D16" s="27">
        <v>2019</v>
      </c>
      <c r="E16" s="30" t="s">
        <v>319</v>
      </c>
      <c r="F16" s="30" t="s">
        <v>320</v>
      </c>
      <c r="G16" s="27" t="s">
        <v>78</v>
      </c>
      <c r="H16" s="27">
        <v>1</v>
      </c>
      <c r="I16" s="27" t="s">
        <v>291</v>
      </c>
      <c r="J16" s="27" t="s">
        <v>79</v>
      </c>
      <c r="L16" s="27" t="s">
        <v>129</v>
      </c>
      <c r="M16" s="27" t="s">
        <v>381</v>
      </c>
      <c r="N16" s="27">
        <v>-0.14000000000000001</v>
      </c>
      <c r="O16" s="27">
        <v>0.12</v>
      </c>
      <c r="P16" s="31">
        <f t="shared" si="0"/>
        <v>-1.1666666666666667</v>
      </c>
      <c r="Q16" s="27" t="s">
        <v>313</v>
      </c>
      <c r="R16" s="27" t="s">
        <v>313</v>
      </c>
      <c r="S16" s="27" t="s">
        <v>313</v>
      </c>
      <c r="T16" s="27">
        <v>2085</v>
      </c>
      <c r="U16" s="27">
        <v>65</v>
      </c>
      <c r="V16" s="27">
        <f t="shared" si="1"/>
        <v>2020</v>
      </c>
      <c r="W16" s="27">
        <f t="shared" si="2"/>
        <v>-2.5949251580757608E-2</v>
      </c>
      <c r="X16" s="27">
        <f t="shared" si="3"/>
        <v>2.224221564064938E-2</v>
      </c>
      <c r="Y16" s="27">
        <f t="shared" si="4"/>
        <v>-2.5949251580757608E-2</v>
      </c>
      <c r="Z16" s="27" t="s">
        <v>81</v>
      </c>
      <c r="AA16" s="32">
        <f>(N16*AF16)/(10*AU16)</f>
        <v>-1.1595652173913045E-2</v>
      </c>
      <c r="AB16" s="32">
        <f>O16*AF16/(10*AU16)</f>
        <v>9.9391304347826084E-3</v>
      </c>
      <c r="AC16" s="32">
        <f t="shared" si="5"/>
        <v>-1.1595652173913045E-2</v>
      </c>
      <c r="AD16" s="27" t="s">
        <v>82</v>
      </c>
      <c r="AE16" s="27" t="s">
        <v>297</v>
      </c>
      <c r="AF16" s="27">
        <v>99.06</v>
      </c>
      <c r="AG16" s="27">
        <v>49.79</v>
      </c>
      <c r="AH16" s="27">
        <v>23.55</v>
      </c>
      <c r="AI16" s="27">
        <v>342.58</v>
      </c>
      <c r="AJ16" s="27" t="s">
        <v>83</v>
      </c>
      <c r="AK16" s="27" t="s">
        <v>133</v>
      </c>
      <c r="AL16" s="27" t="s">
        <v>85</v>
      </c>
      <c r="AM16" s="27" t="s">
        <v>86</v>
      </c>
      <c r="AN16" s="27">
        <v>0</v>
      </c>
      <c r="AO16" s="27">
        <v>0</v>
      </c>
      <c r="AP16" s="27" t="s">
        <v>87</v>
      </c>
      <c r="AQ16" s="27" t="s">
        <v>88</v>
      </c>
      <c r="AR16" s="27" t="s">
        <v>89</v>
      </c>
      <c r="AS16" s="27" t="s">
        <v>114</v>
      </c>
      <c r="AT16" s="27" t="s">
        <v>293</v>
      </c>
      <c r="AU16" s="27">
        <v>119.6</v>
      </c>
      <c r="AV16" s="27" t="s">
        <v>313</v>
      </c>
      <c r="AW16" s="27" t="s">
        <v>313</v>
      </c>
      <c r="AX16" s="27" t="s">
        <v>313</v>
      </c>
      <c r="AY16" s="27" t="s">
        <v>91</v>
      </c>
      <c r="AZ16" s="27" t="s">
        <v>84</v>
      </c>
      <c r="BA16" s="27" t="s">
        <v>376</v>
      </c>
      <c r="BB16" s="27" t="s">
        <v>290</v>
      </c>
      <c r="BC16" s="27" t="s">
        <v>316</v>
      </c>
      <c r="BD16" s="27" t="s">
        <v>117</v>
      </c>
      <c r="BE16" s="27" t="s">
        <v>93</v>
      </c>
      <c r="BF16" s="27" t="s">
        <v>313</v>
      </c>
      <c r="BG16" s="27" t="s">
        <v>313</v>
      </c>
      <c r="BH16" s="28">
        <v>42005</v>
      </c>
      <c r="BI16" s="28">
        <v>42155</v>
      </c>
      <c r="BJ16" s="27" t="s">
        <v>94</v>
      </c>
      <c r="BK16" s="27" t="s">
        <v>95</v>
      </c>
      <c r="BL16" s="27" t="s">
        <v>140</v>
      </c>
      <c r="BM16" s="27">
        <v>1</v>
      </c>
      <c r="BN16" s="27">
        <v>1</v>
      </c>
      <c r="BO16" s="27" t="s">
        <v>304</v>
      </c>
      <c r="BP16" s="27" t="s">
        <v>315</v>
      </c>
      <c r="BQ16" s="27">
        <v>0</v>
      </c>
      <c r="BR16" s="27" t="s">
        <v>97</v>
      </c>
      <c r="BS16" s="27">
        <v>0</v>
      </c>
      <c r="BT16" s="27" t="s">
        <v>97</v>
      </c>
      <c r="BU16" s="27">
        <v>1</v>
      </c>
      <c r="BV16" s="27" t="s">
        <v>377</v>
      </c>
      <c r="BW16" s="27" t="s">
        <v>98</v>
      </c>
      <c r="BX16" s="27">
        <v>64</v>
      </c>
      <c r="BY16" s="27">
        <v>0</v>
      </c>
      <c r="BZ16" s="27" t="s">
        <v>99</v>
      </c>
      <c r="CA16" s="27" t="s">
        <v>100</v>
      </c>
      <c r="CB16" s="27" t="s">
        <v>101</v>
      </c>
      <c r="CC16" s="28">
        <v>45847</v>
      </c>
    </row>
    <row r="17" spans="1:83" x14ac:dyDescent="0.3">
      <c r="A17" s="30" t="s">
        <v>294</v>
      </c>
      <c r="B17" s="30" t="s">
        <v>312</v>
      </c>
      <c r="C17" s="27" t="s">
        <v>317</v>
      </c>
      <c r="D17" s="27">
        <v>2019</v>
      </c>
      <c r="E17" s="30" t="s">
        <v>319</v>
      </c>
      <c r="F17" s="30" t="s">
        <v>320</v>
      </c>
      <c r="G17" s="27" t="s">
        <v>78</v>
      </c>
      <c r="H17" s="27">
        <v>1</v>
      </c>
      <c r="I17" s="27" t="s">
        <v>291</v>
      </c>
      <c r="J17" s="27" t="s">
        <v>79</v>
      </c>
      <c r="L17" s="27" t="s">
        <v>129</v>
      </c>
      <c r="M17" s="27" t="s">
        <v>381</v>
      </c>
      <c r="N17" s="27">
        <v>0.03</v>
      </c>
      <c r="O17" s="27">
        <v>0.13</v>
      </c>
      <c r="P17" s="31">
        <f t="shared" si="0"/>
        <v>0.23076923076923075</v>
      </c>
      <c r="Q17" s="27" t="s">
        <v>313</v>
      </c>
      <c r="R17" s="27" t="s">
        <v>313</v>
      </c>
      <c r="S17" s="27" t="s">
        <v>313</v>
      </c>
      <c r="T17" s="27">
        <v>2085</v>
      </c>
      <c r="U17" s="27">
        <v>65</v>
      </c>
      <c r="V17" s="27">
        <f t="shared" si="1"/>
        <v>2020</v>
      </c>
      <c r="W17" s="27">
        <f>P17/(P17^2 + V17)^(1/2)</f>
        <v>5.1344803129120733E-3</v>
      </c>
      <c r="X17" s="27">
        <f t="shared" si="3"/>
        <v>2.2249414689285651E-2</v>
      </c>
      <c r="Y17" s="27">
        <f t="shared" si="4"/>
        <v>5.1344803129120733E-3</v>
      </c>
      <c r="Z17" s="27" t="s">
        <v>81</v>
      </c>
      <c r="AA17" s="32">
        <f>(N17*AF17)/(10*AU17)</f>
        <v>1.5293478260869566E-3</v>
      </c>
      <c r="AB17" s="32">
        <f>O17*AF17/(10*AU17)</f>
        <v>6.6271739130434786E-3</v>
      </c>
      <c r="AC17" s="32">
        <f t="shared" si="5"/>
        <v>1.5293478260869566E-3</v>
      </c>
      <c r="AD17" s="27" t="s">
        <v>159</v>
      </c>
      <c r="AE17" s="27" t="s">
        <v>297</v>
      </c>
      <c r="AF17" s="27">
        <v>60.97</v>
      </c>
      <c r="AG17" s="27">
        <v>40.840000000000003</v>
      </c>
      <c r="AH17" s="27">
        <v>8.33</v>
      </c>
      <c r="AI17" s="27">
        <v>293.10000000000002</v>
      </c>
      <c r="AJ17" s="27" t="s">
        <v>83</v>
      </c>
      <c r="AK17" s="27" t="s">
        <v>133</v>
      </c>
      <c r="AL17" s="27" t="s">
        <v>85</v>
      </c>
      <c r="AM17" s="27" t="s">
        <v>86</v>
      </c>
      <c r="AN17" s="27">
        <v>0</v>
      </c>
      <c r="AO17" s="27">
        <v>0</v>
      </c>
      <c r="AP17" s="27" t="s">
        <v>87</v>
      </c>
      <c r="AQ17" s="27" t="s">
        <v>88</v>
      </c>
      <c r="AR17" s="27" t="s">
        <v>89</v>
      </c>
      <c r="AS17" s="27" t="s">
        <v>114</v>
      </c>
      <c r="AT17" s="27" t="s">
        <v>293</v>
      </c>
      <c r="AU17" s="27">
        <v>119.6</v>
      </c>
      <c r="AV17" s="27" t="s">
        <v>313</v>
      </c>
      <c r="AW17" s="27" t="s">
        <v>313</v>
      </c>
      <c r="AX17" s="27" t="s">
        <v>313</v>
      </c>
      <c r="AY17" s="27" t="s">
        <v>91</v>
      </c>
      <c r="AZ17" s="27" t="s">
        <v>84</v>
      </c>
      <c r="BA17" s="27" t="s">
        <v>376</v>
      </c>
      <c r="BB17" s="27" t="s">
        <v>290</v>
      </c>
      <c r="BC17" s="27" t="s">
        <v>316</v>
      </c>
      <c r="BD17" s="27" t="s">
        <v>117</v>
      </c>
      <c r="BE17" s="27" t="s">
        <v>93</v>
      </c>
      <c r="BF17" s="27" t="s">
        <v>313</v>
      </c>
      <c r="BG17" s="27" t="s">
        <v>313</v>
      </c>
      <c r="BH17" s="28">
        <v>42005</v>
      </c>
      <c r="BI17" s="28">
        <v>42155</v>
      </c>
      <c r="BJ17" s="27" t="s">
        <v>94</v>
      </c>
      <c r="BK17" s="27" t="s">
        <v>95</v>
      </c>
      <c r="BL17" s="27" t="s">
        <v>140</v>
      </c>
      <c r="BM17" s="27">
        <v>1</v>
      </c>
      <c r="BN17" s="27">
        <v>1</v>
      </c>
      <c r="BO17" s="27" t="s">
        <v>304</v>
      </c>
      <c r="BP17" s="27" t="s">
        <v>315</v>
      </c>
      <c r="BQ17" s="27">
        <v>0</v>
      </c>
      <c r="BR17" s="27" t="s">
        <v>97</v>
      </c>
      <c r="BS17" s="27">
        <v>0</v>
      </c>
      <c r="BT17" s="27" t="s">
        <v>97</v>
      </c>
      <c r="BU17" s="27">
        <v>1</v>
      </c>
      <c r="BV17" s="27" t="s">
        <v>377</v>
      </c>
      <c r="BW17" s="27" t="s">
        <v>98</v>
      </c>
      <c r="BX17" s="27">
        <v>64</v>
      </c>
      <c r="BY17" s="27">
        <v>0</v>
      </c>
      <c r="BZ17" s="27" t="s">
        <v>99</v>
      </c>
      <c r="CA17" s="27" t="s">
        <v>100</v>
      </c>
      <c r="CB17" s="27" t="s">
        <v>101</v>
      </c>
      <c r="CC17" s="28">
        <v>45847</v>
      </c>
    </row>
    <row r="18" spans="1:83" x14ac:dyDescent="0.3">
      <c r="A18" s="30" t="s">
        <v>294</v>
      </c>
      <c r="B18" s="30" t="s">
        <v>351</v>
      </c>
      <c r="C18" s="27" t="s">
        <v>317</v>
      </c>
      <c r="D18" s="27">
        <v>2019</v>
      </c>
      <c r="E18" s="30" t="s">
        <v>319</v>
      </c>
      <c r="F18" s="30" t="s">
        <v>320</v>
      </c>
      <c r="G18" s="27" t="s">
        <v>78</v>
      </c>
      <c r="H18" s="27">
        <v>1</v>
      </c>
      <c r="I18" s="27" t="s">
        <v>291</v>
      </c>
      <c r="J18" s="27" t="s">
        <v>79</v>
      </c>
      <c r="L18" s="27" t="s">
        <v>129</v>
      </c>
      <c r="M18" s="27" t="s">
        <v>382</v>
      </c>
      <c r="N18" s="27">
        <v>-0.02</v>
      </c>
      <c r="O18" s="27">
        <v>0.09</v>
      </c>
      <c r="P18" s="27">
        <f t="shared" si="0"/>
        <v>-0.22222222222222224</v>
      </c>
      <c r="Q18" s="27" t="s">
        <v>313</v>
      </c>
      <c r="R18" s="27" t="s">
        <v>313</v>
      </c>
      <c r="S18" s="27" t="s">
        <v>313</v>
      </c>
      <c r="T18" s="27">
        <v>4443</v>
      </c>
      <c r="U18" s="27" t="s">
        <v>313</v>
      </c>
      <c r="V18" s="27">
        <f t="shared" ref="V18:V41" si="6">T18</f>
        <v>4443</v>
      </c>
      <c r="W18" s="27">
        <f t="shared" ref="W18:W41" si="7">P18/(P18^2 + V18)^(1/2)</f>
        <v>-3.3338566046714987E-3</v>
      </c>
      <c r="X18" s="27">
        <f t="shared" ref="X18:X41" si="8">((1-W18^2)/V18)^(1/2)</f>
        <v>1.5002354721021743E-2</v>
      </c>
      <c r="Y18" s="27">
        <f t="shared" ref="Y18:Y41" si="9">W18</f>
        <v>-3.3338566046714987E-3</v>
      </c>
      <c r="Z18" s="27" t="s">
        <v>81</v>
      </c>
      <c r="AA18" s="32">
        <f>(N18/100)*(AF18/10)</f>
        <v>-1.377E-3</v>
      </c>
      <c r="AB18" s="32">
        <f>(O18/100)*(AF18/10)</f>
        <v>6.1964999999999998E-3</v>
      </c>
      <c r="AC18" s="32">
        <f t="shared" si="5"/>
        <v>-1.377E-3</v>
      </c>
      <c r="AD18" s="27" t="s">
        <v>82</v>
      </c>
      <c r="AE18" s="27" t="s">
        <v>297</v>
      </c>
      <c r="AF18" s="27">
        <v>68.849999999999994</v>
      </c>
      <c r="AG18" s="27">
        <v>35.299999999999997</v>
      </c>
      <c r="AH18" s="27">
        <v>15.39</v>
      </c>
      <c r="AI18" s="27">
        <v>224.67</v>
      </c>
      <c r="AJ18" s="27" t="s">
        <v>83</v>
      </c>
      <c r="AK18" s="27" t="s">
        <v>133</v>
      </c>
      <c r="AL18" s="27" t="s">
        <v>85</v>
      </c>
      <c r="AM18" s="27" t="s">
        <v>110</v>
      </c>
      <c r="AN18" s="27">
        <v>0</v>
      </c>
      <c r="AO18" s="27">
        <v>5</v>
      </c>
      <c r="AP18" s="27" t="s">
        <v>87</v>
      </c>
      <c r="AQ18" s="27" t="s">
        <v>88</v>
      </c>
      <c r="AR18" s="27" t="s">
        <v>89</v>
      </c>
      <c r="AS18" s="27" t="s">
        <v>114</v>
      </c>
      <c r="AT18" s="27" t="s">
        <v>292</v>
      </c>
      <c r="AU18" s="27">
        <v>112.4</v>
      </c>
      <c r="AV18" s="27" t="s">
        <v>313</v>
      </c>
      <c r="AW18" s="27" t="s">
        <v>313</v>
      </c>
      <c r="AX18" s="27" t="s">
        <v>313</v>
      </c>
      <c r="AY18" s="27" t="s">
        <v>91</v>
      </c>
      <c r="AZ18" s="27" t="s">
        <v>84</v>
      </c>
      <c r="BA18" s="27" t="s">
        <v>376</v>
      </c>
      <c r="BB18" s="27" t="s">
        <v>290</v>
      </c>
      <c r="BC18" s="27" t="s">
        <v>316</v>
      </c>
      <c r="BD18" s="27" t="s">
        <v>117</v>
      </c>
      <c r="BE18" s="27" t="s">
        <v>93</v>
      </c>
      <c r="BF18" s="27" t="s">
        <v>313</v>
      </c>
      <c r="BG18" s="27" t="s">
        <v>313</v>
      </c>
      <c r="BH18" s="28">
        <v>41883</v>
      </c>
      <c r="BI18" s="28">
        <v>42155</v>
      </c>
      <c r="BJ18" s="27" t="s">
        <v>94</v>
      </c>
      <c r="BK18" s="27" t="s">
        <v>95</v>
      </c>
      <c r="BL18" s="27" t="s">
        <v>96</v>
      </c>
      <c r="BM18" s="27">
        <v>0</v>
      </c>
      <c r="BN18" s="27">
        <v>0</v>
      </c>
      <c r="BO18" s="27" t="s">
        <v>313</v>
      </c>
      <c r="BP18" s="27" t="s">
        <v>315</v>
      </c>
      <c r="BQ18" s="27">
        <v>0</v>
      </c>
      <c r="BR18" s="27" t="s">
        <v>97</v>
      </c>
      <c r="BS18" s="27">
        <v>0</v>
      </c>
      <c r="BT18" s="27" t="s">
        <v>97</v>
      </c>
      <c r="BU18" s="27">
        <v>1</v>
      </c>
      <c r="BV18" s="27" t="s">
        <v>377</v>
      </c>
      <c r="BW18" s="27" t="s">
        <v>378</v>
      </c>
      <c r="BX18" s="27">
        <v>64</v>
      </c>
      <c r="BY18" s="27">
        <v>0</v>
      </c>
      <c r="BZ18" s="27" t="s">
        <v>99</v>
      </c>
      <c r="CA18" s="27" t="s">
        <v>100</v>
      </c>
      <c r="CB18" s="27" t="s">
        <v>101</v>
      </c>
      <c r="CC18" s="28">
        <v>45847</v>
      </c>
      <c r="CE18" t="s">
        <v>385</v>
      </c>
    </row>
    <row r="19" spans="1:83" x14ac:dyDescent="0.3">
      <c r="A19" s="30" t="s">
        <v>294</v>
      </c>
      <c r="B19" s="30" t="s">
        <v>352</v>
      </c>
      <c r="C19" s="27" t="s">
        <v>317</v>
      </c>
      <c r="D19" s="27">
        <v>2019</v>
      </c>
      <c r="E19" s="30" t="s">
        <v>319</v>
      </c>
      <c r="F19" s="30" t="s">
        <v>320</v>
      </c>
      <c r="G19" s="27" t="s">
        <v>78</v>
      </c>
      <c r="H19" s="27">
        <v>1</v>
      </c>
      <c r="I19" s="27" t="s">
        <v>291</v>
      </c>
      <c r="J19" s="27" t="s">
        <v>79</v>
      </c>
      <c r="L19" s="27" t="s">
        <v>129</v>
      </c>
      <c r="M19" s="27" t="s">
        <v>382</v>
      </c>
      <c r="N19" s="27">
        <v>-7.0000000000000007E-2</v>
      </c>
      <c r="O19" s="27">
        <v>0.14000000000000001</v>
      </c>
      <c r="P19" s="27">
        <f t="shared" si="0"/>
        <v>-0.5</v>
      </c>
      <c r="Q19" s="27" t="s">
        <v>313</v>
      </c>
      <c r="R19" s="27" t="s">
        <v>313</v>
      </c>
      <c r="S19" s="27" t="s">
        <v>313</v>
      </c>
      <c r="T19" s="27">
        <v>4443</v>
      </c>
      <c r="U19" s="27" t="s">
        <v>313</v>
      </c>
      <c r="V19" s="27">
        <f t="shared" si="6"/>
        <v>4443</v>
      </c>
      <c r="W19" s="27">
        <f t="shared" si="7"/>
        <v>-7.5010080156827112E-3</v>
      </c>
      <c r="X19" s="27">
        <f t="shared" si="8"/>
        <v>1.5002016031365424E-2</v>
      </c>
      <c r="Y19" s="27">
        <f t="shared" si="9"/>
        <v>-7.5010080156827112E-3</v>
      </c>
      <c r="Z19" s="27" t="s">
        <v>81</v>
      </c>
      <c r="AA19" s="32">
        <f t="shared" ref="AA19:AA65" si="10">(N19/100)*(AF19/10)</f>
        <v>-4.8195000000000009E-3</v>
      </c>
      <c r="AB19" s="32">
        <f t="shared" ref="AB19:AB65" si="11">(O19/100)*(AF19/10)</f>
        <v>9.6390000000000017E-3</v>
      </c>
      <c r="AC19" s="32">
        <f t="shared" si="5"/>
        <v>-4.8195000000000009E-3</v>
      </c>
      <c r="AD19" s="27" t="s">
        <v>82</v>
      </c>
      <c r="AE19" s="27" t="s">
        <v>297</v>
      </c>
      <c r="AF19" s="27">
        <v>68.849999999999994</v>
      </c>
      <c r="AG19" s="27">
        <v>35.299999999999997</v>
      </c>
      <c r="AH19" s="27">
        <v>15.39</v>
      </c>
      <c r="AI19" s="27">
        <v>224.67</v>
      </c>
      <c r="AJ19" s="27" t="s">
        <v>83</v>
      </c>
      <c r="AK19" s="27" t="s">
        <v>133</v>
      </c>
      <c r="AL19" s="27" t="s">
        <v>85</v>
      </c>
      <c r="AM19" s="27" t="s">
        <v>110</v>
      </c>
      <c r="AN19" s="27">
        <v>0</v>
      </c>
      <c r="AO19" s="27">
        <v>10</v>
      </c>
      <c r="AP19" s="27" t="s">
        <v>87</v>
      </c>
      <c r="AQ19" s="27" t="s">
        <v>88</v>
      </c>
      <c r="AR19" s="27" t="s">
        <v>89</v>
      </c>
      <c r="AS19" s="27" t="s">
        <v>114</v>
      </c>
      <c r="AT19" s="27" t="s">
        <v>292</v>
      </c>
      <c r="AU19" s="27">
        <v>112.4</v>
      </c>
      <c r="AV19" s="27" t="s">
        <v>313</v>
      </c>
      <c r="AW19" s="27" t="s">
        <v>313</v>
      </c>
      <c r="AX19" s="27" t="s">
        <v>313</v>
      </c>
      <c r="AY19" s="27" t="s">
        <v>91</v>
      </c>
      <c r="AZ19" s="27" t="s">
        <v>84</v>
      </c>
      <c r="BA19" s="27" t="s">
        <v>376</v>
      </c>
      <c r="BB19" s="27" t="s">
        <v>290</v>
      </c>
      <c r="BC19" s="27" t="s">
        <v>316</v>
      </c>
      <c r="BD19" s="27" t="s">
        <v>117</v>
      </c>
      <c r="BE19" s="27" t="s">
        <v>93</v>
      </c>
      <c r="BF19" s="27" t="s">
        <v>313</v>
      </c>
      <c r="BG19" s="27" t="s">
        <v>313</v>
      </c>
      <c r="BH19" s="28">
        <v>41883</v>
      </c>
      <c r="BI19" s="28">
        <v>42155</v>
      </c>
      <c r="BJ19" s="27" t="s">
        <v>94</v>
      </c>
      <c r="BK19" s="27" t="s">
        <v>95</v>
      </c>
      <c r="BL19" s="27" t="s">
        <v>96</v>
      </c>
      <c r="BM19" s="27">
        <v>0</v>
      </c>
      <c r="BN19" s="27">
        <v>0</v>
      </c>
      <c r="BO19" s="27" t="s">
        <v>313</v>
      </c>
      <c r="BP19" s="27" t="s">
        <v>315</v>
      </c>
      <c r="BQ19" s="27">
        <v>0</v>
      </c>
      <c r="BR19" s="27" t="s">
        <v>97</v>
      </c>
      <c r="BS19" s="27">
        <v>0</v>
      </c>
      <c r="BT19" s="27" t="s">
        <v>97</v>
      </c>
      <c r="BU19" s="27">
        <v>1</v>
      </c>
      <c r="BV19" s="27" t="s">
        <v>377</v>
      </c>
      <c r="BW19" s="27" t="s">
        <v>378</v>
      </c>
      <c r="BX19" s="27">
        <v>64</v>
      </c>
      <c r="BY19" s="27">
        <v>0</v>
      </c>
      <c r="BZ19" s="27" t="s">
        <v>99</v>
      </c>
      <c r="CA19" s="27" t="s">
        <v>100</v>
      </c>
      <c r="CB19" s="27" t="s">
        <v>101</v>
      </c>
      <c r="CC19" s="28">
        <v>45847</v>
      </c>
      <c r="CE19" t="s">
        <v>385</v>
      </c>
    </row>
    <row r="20" spans="1:83" x14ac:dyDescent="0.3">
      <c r="A20" s="30" t="s">
        <v>294</v>
      </c>
      <c r="B20" s="30" t="s">
        <v>353</v>
      </c>
      <c r="C20" s="27" t="s">
        <v>317</v>
      </c>
      <c r="D20" s="27">
        <v>2019</v>
      </c>
      <c r="E20" s="30" t="s">
        <v>319</v>
      </c>
      <c r="F20" s="30" t="s">
        <v>320</v>
      </c>
      <c r="G20" s="27" t="s">
        <v>78</v>
      </c>
      <c r="H20" s="27">
        <v>1</v>
      </c>
      <c r="I20" s="27" t="s">
        <v>291</v>
      </c>
      <c r="J20" s="27" t="s">
        <v>79</v>
      </c>
      <c r="L20" s="27" t="s">
        <v>129</v>
      </c>
      <c r="M20" s="27" t="s">
        <v>382</v>
      </c>
      <c r="N20" s="27">
        <v>-0.16</v>
      </c>
      <c r="O20" s="27">
        <v>0.17</v>
      </c>
      <c r="P20" s="27">
        <f t="shared" si="0"/>
        <v>-0.94117647058823528</v>
      </c>
      <c r="Q20" s="27" t="s">
        <v>313</v>
      </c>
      <c r="R20" s="27" t="s">
        <v>313</v>
      </c>
      <c r="S20" s="27" t="s">
        <v>313</v>
      </c>
      <c r="T20" s="27">
        <v>4443</v>
      </c>
      <c r="U20" s="27" t="s">
        <v>313</v>
      </c>
      <c r="V20" s="27">
        <f t="shared" si="6"/>
        <v>4443</v>
      </c>
      <c r="W20" s="27">
        <f t="shared" si="7"/>
        <v>-1.4118534380411512E-2</v>
      </c>
      <c r="X20" s="27">
        <f t="shared" si="8"/>
        <v>1.500094277918723E-2</v>
      </c>
      <c r="Y20" s="27">
        <f t="shared" si="9"/>
        <v>-1.4118534380411512E-2</v>
      </c>
      <c r="Z20" s="27" t="s">
        <v>81</v>
      </c>
      <c r="AA20" s="32">
        <f t="shared" si="10"/>
        <v>-1.1016E-2</v>
      </c>
      <c r="AB20" s="32">
        <f t="shared" si="11"/>
        <v>1.17045E-2</v>
      </c>
      <c r="AC20" s="32">
        <f t="shared" si="5"/>
        <v>-1.1016E-2</v>
      </c>
      <c r="AD20" s="27" t="s">
        <v>82</v>
      </c>
      <c r="AE20" s="27" t="s">
        <v>297</v>
      </c>
      <c r="AF20" s="27">
        <v>68.849999999999994</v>
      </c>
      <c r="AG20" s="27">
        <v>35.299999999999997</v>
      </c>
      <c r="AH20" s="27">
        <v>15.39</v>
      </c>
      <c r="AI20" s="27">
        <v>224.67</v>
      </c>
      <c r="AJ20" s="27" t="s">
        <v>83</v>
      </c>
      <c r="AK20" s="27" t="s">
        <v>133</v>
      </c>
      <c r="AL20" s="27" t="s">
        <v>85</v>
      </c>
      <c r="AM20" s="27" t="s">
        <v>110</v>
      </c>
      <c r="AN20" s="27">
        <v>0</v>
      </c>
      <c r="AO20" s="27">
        <v>15</v>
      </c>
      <c r="AP20" s="27" t="s">
        <v>87</v>
      </c>
      <c r="AQ20" s="27" t="s">
        <v>88</v>
      </c>
      <c r="AR20" s="27" t="s">
        <v>89</v>
      </c>
      <c r="AS20" s="27" t="s">
        <v>114</v>
      </c>
      <c r="AT20" s="27" t="s">
        <v>292</v>
      </c>
      <c r="AU20" s="27">
        <v>112.4</v>
      </c>
      <c r="AV20" s="27" t="s">
        <v>313</v>
      </c>
      <c r="AW20" s="27" t="s">
        <v>313</v>
      </c>
      <c r="AX20" s="27" t="s">
        <v>313</v>
      </c>
      <c r="AY20" s="27" t="s">
        <v>91</v>
      </c>
      <c r="AZ20" s="27" t="s">
        <v>84</v>
      </c>
      <c r="BA20" s="27" t="s">
        <v>376</v>
      </c>
      <c r="BB20" s="27" t="s">
        <v>290</v>
      </c>
      <c r="BC20" s="27" t="s">
        <v>316</v>
      </c>
      <c r="BD20" s="27" t="s">
        <v>117</v>
      </c>
      <c r="BE20" s="27" t="s">
        <v>93</v>
      </c>
      <c r="BF20" s="27" t="s">
        <v>313</v>
      </c>
      <c r="BG20" s="27" t="s">
        <v>313</v>
      </c>
      <c r="BH20" s="28">
        <v>41883</v>
      </c>
      <c r="BI20" s="28">
        <v>42155</v>
      </c>
      <c r="BJ20" s="27" t="s">
        <v>94</v>
      </c>
      <c r="BK20" s="27" t="s">
        <v>95</v>
      </c>
      <c r="BL20" s="27" t="s">
        <v>96</v>
      </c>
      <c r="BM20" s="27">
        <v>0</v>
      </c>
      <c r="BN20" s="27">
        <v>0</v>
      </c>
      <c r="BO20" s="27" t="s">
        <v>313</v>
      </c>
      <c r="BP20" s="27" t="s">
        <v>315</v>
      </c>
      <c r="BQ20" s="27">
        <v>0</v>
      </c>
      <c r="BR20" s="27" t="s">
        <v>97</v>
      </c>
      <c r="BS20" s="27">
        <v>0</v>
      </c>
      <c r="BT20" s="27" t="s">
        <v>97</v>
      </c>
      <c r="BU20" s="27">
        <v>1</v>
      </c>
      <c r="BV20" s="27" t="s">
        <v>377</v>
      </c>
      <c r="BW20" s="27" t="s">
        <v>378</v>
      </c>
      <c r="BX20" s="27">
        <v>64</v>
      </c>
      <c r="BY20" s="27">
        <v>0</v>
      </c>
      <c r="BZ20" s="27" t="s">
        <v>99</v>
      </c>
      <c r="CA20" s="27" t="s">
        <v>100</v>
      </c>
      <c r="CB20" s="27" t="s">
        <v>101</v>
      </c>
      <c r="CC20" s="28">
        <v>45847</v>
      </c>
      <c r="CE20" t="s">
        <v>385</v>
      </c>
    </row>
    <row r="21" spans="1:83" x14ac:dyDescent="0.3">
      <c r="A21" s="30" t="s">
        <v>294</v>
      </c>
      <c r="B21" s="30" t="s">
        <v>354</v>
      </c>
      <c r="C21" s="27" t="s">
        <v>317</v>
      </c>
      <c r="D21" s="27">
        <v>2019</v>
      </c>
      <c r="E21" s="30" t="s">
        <v>319</v>
      </c>
      <c r="F21" s="30" t="s">
        <v>320</v>
      </c>
      <c r="G21" s="27" t="s">
        <v>78</v>
      </c>
      <c r="H21" s="27">
        <v>1</v>
      </c>
      <c r="I21" s="27" t="s">
        <v>291</v>
      </c>
      <c r="J21" s="27" t="s">
        <v>79</v>
      </c>
      <c r="L21" s="27" t="s">
        <v>129</v>
      </c>
      <c r="M21" s="27" t="s">
        <v>382</v>
      </c>
      <c r="N21" s="27">
        <v>-0.37</v>
      </c>
      <c r="O21" s="27">
        <v>0.18</v>
      </c>
      <c r="P21" s="27">
        <f t="shared" si="0"/>
        <v>-2.0555555555555558</v>
      </c>
      <c r="Q21" s="27" t="s">
        <v>313</v>
      </c>
      <c r="R21" s="27" t="s">
        <v>313</v>
      </c>
      <c r="S21" s="27" t="s">
        <v>313</v>
      </c>
      <c r="T21" s="27">
        <v>4443</v>
      </c>
      <c r="U21" s="27" t="s">
        <v>313</v>
      </c>
      <c r="V21" s="27">
        <f t="shared" si="6"/>
        <v>4443</v>
      </c>
      <c r="W21" s="27">
        <f t="shared" si="7"/>
        <v>-3.0823691734933229E-2</v>
      </c>
      <c r="X21" s="27">
        <f t="shared" si="8"/>
        <v>1.4995309492670217E-2</v>
      </c>
      <c r="Y21" s="27">
        <f t="shared" si="9"/>
        <v>-3.0823691734933229E-2</v>
      </c>
      <c r="Z21" s="27" t="s">
        <v>81</v>
      </c>
      <c r="AA21" s="32">
        <f t="shared" si="10"/>
        <v>-2.5474500000000001E-2</v>
      </c>
      <c r="AB21" s="32">
        <f t="shared" si="11"/>
        <v>1.2393E-2</v>
      </c>
      <c r="AC21" s="32">
        <f t="shared" si="5"/>
        <v>-2.5474500000000001E-2</v>
      </c>
      <c r="AD21" s="27" t="s">
        <v>82</v>
      </c>
      <c r="AE21" s="27" t="s">
        <v>297</v>
      </c>
      <c r="AF21" s="27">
        <v>68.849999999999994</v>
      </c>
      <c r="AG21" s="27">
        <v>35.299999999999997</v>
      </c>
      <c r="AH21" s="27">
        <v>15.39</v>
      </c>
      <c r="AI21" s="27">
        <v>224.67</v>
      </c>
      <c r="AJ21" s="27" t="s">
        <v>83</v>
      </c>
      <c r="AK21" s="27" t="s">
        <v>133</v>
      </c>
      <c r="AL21" s="27" t="s">
        <v>85</v>
      </c>
      <c r="AM21" s="27" t="s">
        <v>110</v>
      </c>
      <c r="AN21" s="27">
        <v>0</v>
      </c>
      <c r="AO21" s="27">
        <v>20</v>
      </c>
      <c r="AP21" s="27" t="s">
        <v>87</v>
      </c>
      <c r="AQ21" s="27" t="s">
        <v>88</v>
      </c>
      <c r="AR21" s="27" t="s">
        <v>89</v>
      </c>
      <c r="AS21" s="27" t="s">
        <v>114</v>
      </c>
      <c r="AT21" s="27" t="s">
        <v>292</v>
      </c>
      <c r="AU21" s="27">
        <v>112.4</v>
      </c>
      <c r="AV21" s="27" t="s">
        <v>313</v>
      </c>
      <c r="AW21" s="27" t="s">
        <v>313</v>
      </c>
      <c r="AX21" s="27" t="s">
        <v>313</v>
      </c>
      <c r="AY21" s="27" t="s">
        <v>91</v>
      </c>
      <c r="AZ21" s="27" t="s">
        <v>84</v>
      </c>
      <c r="BA21" s="27" t="s">
        <v>376</v>
      </c>
      <c r="BB21" s="27" t="s">
        <v>290</v>
      </c>
      <c r="BC21" s="27" t="s">
        <v>316</v>
      </c>
      <c r="BD21" s="27" t="s">
        <v>117</v>
      </c>
      <c r="BE21" s="27" t="s">
        <v>93</v>
      </c>
      <c r="BF21" s="27" t="s">
        <v>313</v>
      </c>
      <c r="BG21" s="27" t="s">
        <v>313</v>
      </c>
      <c r="BH21" s="28">
        <v>41883</v>
      </c>
      <c r="BI21" s="28">
        <v>42155</v>
      </c>
      <c r="BJ21" s="27" t="s">
        <v>94</v>
      </c>
      <c r="BK21" s="27" t="s">
        <v>95</v>
      </c>
      <c r="BL21" s="27" t="s">
        <v>96</v>
      </c>
      <c r="BM21" s="27">
        <v>0</v>
      </c>
      <c r="BN21" s="27">
        <v>0</v>
      </c>
      <c r="BO21" s="27" t="s">
        <v>313</v>
      </c>
      <c r="BP21" s="27" t="s">
        <v>315</v>
      </c>
      <c r="BQ21" s="27">
        <v>0</v>
      </c>
      <c r="BR21" s="27" t="s">
        <v>97</v>
      </c>
      <c r="BS21" s="27">
        <v>0</v>
      </c>
      <c r="BT21" s="27" t="s">
        <v>97</v>
      </c>
      <c r="BU21" s="27">
        <v>1</v>
      </c>
      <c r="BV21" s="27" t="s">
        <v>377</v>
      </c>
      <c r="BW21" s="27" t="s">
        <v>378</v>
      </c>
      <c r="BX21" s="27">
        <v>64</v>
      </c>
      <c r="BY21" s="27">
        <v>0</v>
      </c>
      <c r="BZ21" s="27" t="s">
        <v>99</v>
      </c>
      <c r="CA21" s="27" t="s">
        <v>100</v>
      </c>
      <c r="CB21" s="27" t="s">
        <v>101</v>
      </c>
      <c r="CC21" s="28">
        <v>45847</v>
      </c>
      <c r="CE21" t="s">
        <v>385</v>
      </c>
    </row>
    <row r="22" spans="1:83" x14ac:dyDescent="0.3">
      <c r="A22" s="30" t="s">
        <v>294</v>
      </c>
      <c r="B22" s="30" t="s">
        <v>355</v>
      </c>
      <c r="C22" s="27" t="s">
        <v>317</v>
      </c>
      <c r="D22" s="27">
        <v>2019</v>
      </c>
      <c r="E22" s="30" t="s">
        <v>319</v>
      </c>
      <c r="F22" s="30" t="s">
        <v>320</v>
      </c>
      <c r="G22" s="27" t="s">
        <v>78</v>
      </c>
      <c r="H22" s="27">
        <v>1</v>
      </c>
      <c r="I22" s="27" t="s">
        <v>291</v>
      </c>
      <c r="J22" s="27" t="s">
        <v>79</v>
      </c>
      <c r="L22" s="27" t="s">
        <v>129</v>
      </c>
      <c r="M22" s="27" t="s">
        <v>382</v>
      </c>
      <c r="N22" s="27">
        <v>-0.56999999999999995</v>
      </c>
      <c r="O22" s="27">
        <v>0.19</v>
      </c>
      <c r="P22" s="27">
        <f t="shared" si="0"/>
        <v>-2.9999999999999996</v>
      </c>
      <c r="Q22" s="27" t="s">
        <v>313</v>
      </c>
      <c r="R22" s="27" t="s">
        <v>313</v>
      </c>
      <c r="S22" s="27" t="s">
        <v>313</v>
      </c>
      <c r="T22" s="27">
        <v>4443</v>
      </c>
      <c r="U22" s="27" t="s">
        <v>313</v>
      </c>
      <c r="V22" s="27">
        <f t="shared" si="6"/>
        <v>4443</v>
      </c>
      <c r="W22" s="27">
        <f t="shared" si="7"/>
        <v>-4.4961798699763543E-2</v>
      </c>
      <c r="X22" s="27">
        <f t="shared" si="8"/>
        <v>1.4987266233254515E-2</v>
      </c>
      <c r="Y22" s="27">
        <f t="shared" si="9"/>
        <v>-4.4961798699763543E-2</v>
      </c>
      <c r="Z22" s="27" t="s">
        <v>81</v>
      </c>
      <c r="AA22" s="32">
        <f t="shared" si="10"/>
        <v>-3.9244499999999995E-2</v>
      </c>
      <c r="AB22" s="32">
        <f t="shared" si="11"/>
        <v>1.3081499999999999E-2</v>
      </c>
      <c r="AC22" s="32">
        <f t="shared" si="5"/>
        <v>-3.9244499999999995E-2</v>
      </c>
      <c r="AD22" s="27" t="s">
        <v>82</v>
      </c>
      <c r="AE22" s="27" t="s">
        <v>297</v>
      </c>
      <c r="AF22" s="27">
        <v>68.849999999999994</v>
      </c>
      <c r="AG22" s="27">
        <v>35.299999999999997</v>
      </c>
      <c r="AH22" s="27">
        <v>15.39</v>
      </c>
      <c r="AI22" s="27">
        <v>224.67</v>
      </c>
      <c r="AJ22" s="27" t="s">
        <v>83</v>
      </c>
      <c r="AK22" s="27" t="s">
        <v>133</v>
      </c>
      <c r="AL22" s="27" t="s">
        <v>85</v>
      </c>
      <c r="AM22" s="27" t="s">
        <v>110</v>
      </c>
      <c r="AN22" s="27">
        <v>0</v>
      </c>
      <c r="AO22" s="27">
        <v>25</v>
      </c>
      <c r="AP22" s="27" t="s">
        <v>87</v>
      </c>
      <c r="AQ22" s="27" t="s">
        <v>88</v>
      </c>
      <c r="AR22" s="27" t="s">
        <v>89</v>
      </c>
      <c r="AS22" s="27" t="s">
        <v>114</v>
      </c>
      <c r="AT22" s="27" t="s">
        <v>292</v>
      </c>
      <c r="AU22" s="27">
        <v>112.4</v>
      </c>
      <c r="AV22" s="27" t="s">
        <v>313</v>
      </c>
      <c r="AW22" s="27" t="s">
        <v>313</v>
      </c>
      <c r="AX22" s="27" t="s">
        <v>313</v>
      </c>
      <c r="AY22" s="27" t="s">
        <v>91</v>
      </c>
      <c r="AZ22" s="27" t="s">
        <v>84</v>
      </c>
      <c r="BA22" s="27" t="s">
        <v>376</v>
      </c>
      <c r="BB22" s="27" t="s">
        <v>290</v>
      </c>
      <c r="BC22" s="27" t="s">
        <v>316</v>
      </c>
      <c r="BD22" s="27" t="s">
        <v>117</v>
      </c>
      <c r="BE22" s="27" t="s">
        <v>93</v>
      </c>
      <c r="BF22" s="27" t="s">
        <v>313</v>
      </c>
      <c r="BG22" s="27" t="s">
        <v>313</v>
      </c>
      <c r="BH22" s="28">
        <v>41883</v>
      </c>
      <c r="BI22" s="28">
        <v>42155</v>
      </c>
      <c r="BJ22" s="27" t="s">
        <v>94</v>
      </c>
      <c r="BK22" s="27" t="s">
        <v>95</v>
      </c>
      <c r="BL22" s="27" t="s">
        <v>96</v>
      </c>
      <c r="BM22" s="27">
        <v>0</v>
      </c>
      <c r="BN22" s="27">
        <v>0</v>
      </c>
      <c r="BO22" s="27" t="s">
        <v>313</v>
      </c>
      <c r="BP22" s="27" t="s">
        <v>315</v>
      </c>
      <c r="BQ22" s="27">
        <v>0</v>
      </c>
      <c r="BR22" s="27" t="s">
        <v>97</v>
      </c>
      <c r="BS22" s="27">
        <v>0</v>
      </c>
      <c r="BT22" s="27" t="s">
        <v>97</v>
      </c>
      <c r="BU22" s="27">
        <v>1</v>
      </c>
      <c r="BV22" s="27" t="s">
        <v>377</v>
      </c>
      <c r="BW22" s="27" t="s">
        <v>378</v>
      </c>
      <c r="BX22" s="27">
        <v>64</v>
      </c>
      <c r="BY22" s="27">
        <v>0</v>
      </c>
      <c r="BZ22" s="27" t="s">
        <v>99</v>
      </c>
      <c r="CA22" s="27" t="s">
        <v>100</v>
      </c>
      <c r="CB22" s="27" t="s">
        <v>101</v>
      </c>
      <c r="CC22" s="28">
        <v>45847</v>
      </c>
      <c r="CE22" t="s">
        <v>385</v>
      </c>
    </row>
    <row r="23" spans="1:83" x14ac:dyDescent="0.3">
      <c r="A23" s="30" t="s">
        <v>294</v>
      </c>
      <c r="B23" s="30" t="s">
        <v>356</v>
      </c>
      <c r="C23" s="27" t="s">
        <v>317</v>
      </c>
      <c r="D23" s="27">
        <v>2019</v>
      </c>
      <c r="E23" s="30" t="s">
        <v>319</v>
      </c>
      <c r="F23" s="30" t="s">
        <v>320</v>
      </c>
      <c r="G23" s="27" t="s">
        <v>78</v>
      </c>
      <c r="H23" s="27">
        <v>1</v>
      </c>
      <c r="I23" s="27" t="s">
        <v>291</v>
      </c>
      <c r="J23" s="27" t="s">
        <v>79</v>
      </c>
      <c r="L23" s="27" t="s">
        <v>129</v>
      </c>
      <c r="M23" s="27" t="s">
        <v>382</v>
      </c>
      <c r="N23" s="27">
        <v>-0.47</v>
      </c>
      <c r="O23" s="27">
        <v>0.18</v>
      </c>
      <c r="P23" s="27">
        <f t="shared" si="0"/>
        <v>-2.6111111111111112</v>
      </c>
      <c r="Q23" s="27" t="s">
        <v>313</v>
      </c>
      <c r="R23" s="27" t="s">
        <v>313</v>
      </c>
      <c r="S23" s="27" t="s">
        <v>313</v>
      </c>
      <c r="T23" s="27">
        <v>4443</v>
      </c>
      <c r="U23" s="27" t="s">
        <v>313</v>
      </c>
      <c r="V23" s="27">
        <f t="shared" si="6"/>
        <v>4443</v>
      </c>
      <c r="W23" s="27">
        <f t="shared" si="7"/>
        <v>-3.914301132050331E-2</v>
      </c>
      <c r="X23" s="27">
        <f t="shared" si="8"/>
        <v>1.4990940505724672E-2</v>
      </c>
      <c r="Y23" s="27">
        <f t="shared" si="9"/>
        <v>-3.914301132050331E-2</v>
      </c>
      <c r="Z23" s="27" t="s">
        <v>81</v>
      </c>
      <c r="AA23" s="32">
        <f t="shared" si="10"/>
        <v>-3.2359499999999992E-2</v>
      </c>
      <c r="AB23" s="32">
        <f t="shared" si="11"/>
        <v>1.2393E-2</v>
      </c>
      <c r="AC23" s="32">
        <f t="shared" si="5"/>
        <v>-3.2359499999999992E-2</v>
      </c>
      <c r="AD23" s="27" t="s">
        <v>82</v>
      </c>
      <c r="AE23" s="27" t="s">
        <v>297</v>
      </c>
      <c r="AF23" s="27">
        <v>68.849999999999994</v>
      </c>
      <c r="AG23" s="27">
        <v>35.299999999999997</v>
      </c>
      <c r="AH23" s="27">
        <v>15.39</v>
      </c>
      <c r="AI23" s="27">
        <v>224.67</v>
      </c>
      <c r="AJ23" s="27" t="s">
        <v>83</v>
      </c>
      <c r="AK23" s="27" t="s">
        <v>133</v>
      </c>
      <c r="AL23" s="27" t="s">
        <v>85</v>
      </c>
      <c r="AM23" s="27" t="s">
        <v>110</v>
      </c>
      <c r="AN23" s="27">
        <v>0</v>
      </c>
      <c r="AO23" s="27">
        <v>30</v>
      </c>
      <c r="AP23" s="27" t="s">
        <v>87</v>
      </c>
      <c r="AQ23" s="27" t="s">
        <v>88</v>
      </c>
      <c r="AR23" s="27" t="s">
        <v>89</v>
      </c>
      <c r="AS23" s="27" t="s">
        <v>114</v>
      </c>
      <c r="AT23" s="27" t="s">
        <v>292</v>
      </c>
      <c r="AU23" s="27">
        <v>112.4</v>
      </c>
      <c r="AV23" s="27" t="s">
        <v>313</v>
      </c>
      <c r="AW23" s="27" t="s">
        <v>313</v>
      </c>
      <c r="AX23" s="27" t="s">
        <v>313</v>
      </c>
      <c r="AY23" s="27" t="s">
        <v>91</v>
      </c>
      <c r="AZ23" s="27" t="s">
        <v>84</v>
      </c>
      <c r="BA23" s="27" t="s">
        <v>376</v>
      </c>
      <c r="BB23" s="27" t="s">
        <v>290</v>
      </c>
      <c r="BC23" s="27" t="s">
        <v>316</v>
      </c>
      <c r="BD23" s="27" t="s">
        <v>117</v>
      </c>
      <c r="BE23" s="27" t="s">
        <v>93</v>
      </c>
      <c r="BF23" s="27" t="s">
        <v>313</v>
      </c>
      <c r="BG23" s="27" t="s">
        <v>313</v>
      </c>
      <c r="BH23" s="28">
        <v>41883</v>
      </c>
      <c r="BI23" s="28">
        <v>42155</v>
      </c>
      <c r="BJ23" s="27" t="s">
        <v>94</v>
      </c>
      <c r="BK23" s="27" t="s">
        <v>95</v>
      </c>
      <c r="BL23" s="27" t="s">
        <v>96</v>
      </c>
      <c r="BM23" s="27">
        <v>0</v>
      </c>
      <c r="BN23" s="27">
        <v>0</v>
      </c>
      <c r="BO23" s="27" t="s">
        <v>313</v>
      </c>
      <c r="BP23" s="27" t="s">
        <v>315</v>
      </c>
      <c r="BQ23" s="27">
        <v>0</v>
      </c>
      <c r="BR23" s="27" t="s">
        <v>97</v>
      </c>
      <c r="BS23" s="27">
        <v>0</v>
      </c>
      <c r="BT23" s="27" t="s">
        <v>97</v>
      </c>
      <c r="BU23" s="27">
        <v>1</v>
      </c>
      <c r="BV23" s="27" t="s">
        <v>377</v>
      </c>
      <c r="BW23" s="27" t="s">
        <v>378</v>
      </c>
      <c r="BX23" s="27">
        <v>64</v>
      </c>
      <c r="BY23" s="27">
        <v>0</v>
      </c>
      <c r="BZ23" s="27" t="s">
        <v>99</v>
      </c>
      <c r="CA23" s="27" t="s">
        <v>100</v>
      </c>
      <c r="CB23" s="27" t="s">
        <v>101</v>
      </c>
      <c r="CC23" s="28">
        <v>45847</v>
      </c>
      <c r="CE23" t="s">
        <v>385</v>
      </c>
    </row>
    <row r="24" spans="1:83" x14ac:dyDescent="0.3">
      <c r="A24" s="30" t="s">
        <v>294</v>
      </c>
      <c r="B24" s="30" t="s">
        <v>357</v>
      </c>
      <c r="C24" s="27" t="s">
        <v>317</v>
      </c>
      <c r="D24" s="27">
        <v>2019</v>
      </c>
      <c r="E24" s="30" t="s">
        <v>319</v>
      </c>
      <c r="F24" s="30" t="s">
        <v>320</v>
      </c>
      <c r="G24" s="27" t="s">
        <v>78</v>
      </c>
      <c r="H24" s="27">
        <v>1</v>
      </c>
      <c r="I24" s="27" t="s">
        <v>291</v>
      </c>
      <c r="J24" s="27" t="s">
        <v>79</v>
      </c>
      <c r="L24" s="27" t="s">
        <v>129</v>
      </c>
      <c r="M24" s="27" t="s">
        <v>382</v>
      </c>
      <c r="N24" s="27">
        <v>-0.15</v>
      </c>
      <c r="O24" s="27">
        <v>0.18</v>
      </c>
      <c r="P24" s="27">
        <f t="shared" si="0"/>
        <v>-0.83333333333333337</v>
      </c>
      <c r="Q24" s="27" t="s">
        <v>313</v>
      </c>
      <c r="R24" s="27" t="s">
        <v>313</v>
      </c>
      <c r="S24" s="27" t="s">
        <v>313</v>
      </c>
      <c r="T24" s="27">
        <v>4443</v>
      </c>
      <c r="U24" s="27" t="s">
        <v>313</v>
      </c>
      <c r="V24" s="27">
        <f t="shared" si="6"/>
        <v>4443</v>
      </c>
      <c r="W24" s="27">
        <f t="shared" si="7"/>
        <v>-1.2501054821002663E-2</v>
      </c>
      <c r="X24" s="27">
        <f t="shared" si="8"/>
        <v>1.5001265785203192E-2</v>
      </c>
      <c r="Y24" s="27">
        <f t="shared" si="9"/>
        <v>-1.2501054821002663E-2</v>
      </c>
      <c r="Z24" s="27" t="s">
        <v>81</v>
      </c>
      <c r="AA24" s="32">
        <f t="shared" si="10"/>
        <v>-4.62E-3</v>
      </c>
      <c r="AB24" s="32">
        <f t="shared" si="11"/>
        <v>5.5440000000000003E-3</v>
      </c>
      <c r="AC24" s="32">
        <f t="shared" si="5"/>
        <v>-4.62E-3</v>
      </c>
      <c r="AD24" s="27" t="s">
        <v>159</v>
      </c>
      <c r="AE24" s="27" t="s">
        <v>297</v>
      </c>
      <c r="AF24" s="27">
        <v>30.8</v>
      </c>
      <c r="AG24" s="27">
        <v>13.83</v>
      </c>
      <c r="AH24" s="27">
        <v>9.52</v>
      </c>
      <c r="AI24" s="27">
        <v>80.8</v>
      </c>
      <c r="AJ24" s="27" t="s">
        <v>83</v>
      </c>
      <c r="AK24" s="27" t="s">
        <v>133</v>
      </c>
      <c r="AL24" s="27" t="s">
        <v>85</v>
      </c>
      <c r="AM24" s="27" t="s">
        <v>110</v>
      </c>
      <c r="AN24" s="27">
        <v>0</v>
      </c>
      <c r="AO24" s="27">
        <v>5</v>
      </c>
      <c r="AP24" s="27" t="s">
        <v>87</v>
      </c>
      <c r="AQ24" s="27" t="s">
        <v>88</v>
      </c>
      <c r="AR24" s="27" t="s">
        <v>89</v>
      </c>
      <c r="AS24" s="27" t="s">
        <v>114</v>
      </c>
      <c r="AT24" s="27" t="s">
        <v>292</v>
      </c>
      <c r="AU24" s="27">
        <v>112.4</v>
      </c>
      <c r="AV24" s="27" t="s">
        <v>313</v>
      </c>
      <c r="AW24" s="27" t="s">
        <v>313</v>
      </c>
      <c r="AX24" s="27" t="s">
        <v>313</v>
      </c>
      <c r="AY24" s="27" t="s">
        <v>91</v>
      </c>
      <c r="AZ24" s="27" t="s">
        <v>84</v>
      </c>
      <c r="BA24" s="27" t="s">
        <v>376</v>
      </c>
      <c r="BB24" s="27" t="s">
        <v>290</v>
      </c>
      <c r="BC24" s="27" t="s">
        <v>316</v>
      </c>
      <c r="BD24" s="27" t="s">
        <v>117</v>
      </c>
      <c r="BE24" s="27" t="s">
        <v>93</v>
      </c>
      <c r="BF24" s="27" t="s">
        <v>313</v>
      </c>
      <c r="BG24" s="27" t="s">
        <v>313</v>
      </c>
      <c r="BH24" s="28">
        <v>41883</v>
      </c>
      <c r="BI24" s="28">
        <v>42155</v>
      </c>
      <c r="BJ24" s="27" t="s">
        <v>94</v>
      </c>
      <c r="BK24" s="27" t="s">
        <v>95</v>
      </c>
      <c r="BL24" s="27" t="s">
        <v>96</v>
      </c>
      <c r="BM24" s="27">
        <v>0</v>
      </c>
      <c r="BN24" s="27">
        <v>0</v>
      </c>
      <c r="BO24" s="27" t="s">
        <v>313</v>
      </c>
      <c r="BP24" s="27" t="s">
        <v>315</v>
      </c>
      <c r="BQ24" s="27">
        <v>0</v>
      </c>
      <c r="BR24" s="27" t="s">
        <v>97</v>
      </c>
      <c r="BS24" s="27">
        <v>0</v>
      </c>
      <c r="BT24" s="27" t="s">
        <v>97</v>
      </c>
      <c r="BU24" s="27">
        <v>1</v>
      </c>
      <c r="BV24" s="27" t="s">
        <v>377</v>
      </c>
      <c r="BW24" s="27" t="s">
        <v>378</v>
      </c>
      <c r="BX24" s="27">
        <v>64</v>
      </c>
      <c r="BY24" s="27">
        <v>0</v>
      </c>
      <c r="BZ24" s="27" t="s">
        <v>99</v>
      </c>
      <c r="CA24" s="27" t="s">
        <v>100</v>
      </c>
      <c r="CB24" s="27" t="s">
        <v>101</v>
      </c>
      <c r="CC24" s="28">
        <v>45847</v>
      </c>
      <c r="CE24" t="s">
        <v>385</v>
      </c>
    </row>
    <row r="25" spans="1:83" x14ac:dyDescent="0.3">
      <c r="A25" s="30" t="s">
        <v>294</v>
      </c>
      <c r="B25" s="30" t="s">
        <v>358</v>
      </c>
      <c r="C25" s="27" t="s">
        <v>317</v>
      </c>
      <c r="D25" s="27">
        <v>2019</v>
      </c>
      <c r="E25" s="30" t="s">
        <v>319</v>
      </c>
      <c r="F25" s="30" t="s">
        <v>320</v>
      </c>
      <c r="G25" s="27" t="s">
        <v>78</v>
      </c>
      <c r="H25" s="27">
        <v>1</v>
      </c>
      <c r="I25" s="27" t="s">
        <v>291</v>
      </c>
      <c r="J25" s="27" t="s">
        <v>79</v>
      </c>
      <c r="L25" s="27" t="s">
        <v>129</v>
      </c>
      <c r="M25" s="27" t="s">
        <v>382</v>
      </c>
      <c r="N25" s="27">
        <v>-0.06</v>
      </c>
      <c r="O25" s="27">
        <v>0.22</v>
      </c>
      <c r="P25" s="27">
        <f t="shared" si="0"/>
        <v>-0.27272727272727271</v>
      </c>
      <c r="Q25" s="27" t="s">
        <v>313</v>
      </c>
      <c r="R25" s="27" t="s">
        <v>313</v>
      </c>
      <c r="S25" s="27" t="s">
        <v>313</v>
      </c>
      <c r="T25" s="27">
        <v>4443</v>
      </c>
      <c r="U25" s="27" t="s">
        <v>313</v>
      </c>
      <c r="V25" s="27">
        <f t="shared" si="6"/>
        <v>4443</v>
      </c>
      <c r="W25" s="27">
        <f t="shared" si="7"/>
        <v>-4.0915397776732313E-3</v>
      </c>
      <c r="X25" s="27">
        <f t="shared" si="8"/>
        <v>1.5002312518135183E-2</v>
      </c>
      <c r="Y25" s="27">
        <f t="shared" si="9"/>
        <v>-4.0915397776732313E-3</v>
      </c>
      <c r="Z25" s="27" t="s">
        <v>81</v>
      </c>
      <c r="AA25" s="32">
        <f t="shared" si="10"/>
        <v>-1.8479999999999998E-3</v>
      </c>
      <c r="AB25" s="32">
        <f t="shared" si="11"/>
        <v>6.7760000000000008E-3</v>
      </c>
      <c r="AC25" s="32">
        <f t="shared" si="5"/>
        <v>-1.8479999999999998E-3</v>
      </c>
      <c r="AD25" s="27" t="s">
        <v>159</v>
      </c>
      <c r="AE25" s="27" t="s">
        <v>297</v>
      </c>
      <c r="AF25" s="27">
        <v>30.8</v>
      </c>
      <c r="AG25" s="27">
        <v>13.83</v>
      </c>
      <c r="AH25" s="27">
        <v>9.52</v>
      </c>
      <c r="AI25" s="27">
        <v>80.8</v>
      </c>
      <c r="AJ25" s="27" t="s">
        <v>83</v>
      </c>
      <c r="AK25" s="27" t="s">
        <v>133</v>
      </c>
      <c r="AL25" s="27" t="s">
        <v>85</v>
      </c>
      <c r="AM25" s="27" t="s">
        <v>110</v>
      </c>
      <c r="AN25" s="27">
        <v>0</v>
      </c>
      <c r="AO25" s="27">
        <v>10</v>
      </c>
      <c r="AP25" s="27" t="s">
        <v>87</v>
      </c>
      <c r="AQ25" s="27" t="s">
        <v>88</v>
      </c>
      <c r="AR25" s="27" t="s">
        <v>89</v>
      </c>
      <c r="AS25" s="27" t="s">
        <v>114</v>
      </c>
      <c r="AT25" s="27" t="s">
        <v>292</v>
      </c>
      <c r="AU25" s="27">
        <v>112.4</v>
      </c>
      <c r="AV25" s="27" t="s">
        <v>313</v>
      </c>
      <c r="AW25" s="27" t="s">
        <v>313</v>
      </c>
      <c r="AX25" s="27" t="s">
        <v>313</v>
      </c>
      <c r="AY25" s="27" t="s">
        <v>91</v>
      </c>
      <c r="AZ25" s="27" t="s">
        <v>84</v>
      </c>
      <c r="BA25" s="27" t="s">
        <v>376</v>
      </c>
      <c r="BB25" s="27" t="s">
        <v>290</v>
      </c>
      <c r="BC25" s="27" t="s">
        <v>316</v>
      </c>
      <c r="BD25" s="27" t="s">
        <v>117</v>
      </c>
      <c r="BE25" s="27" t="s">
        <v>93</v>
      </c>
      <c r="BF25" s="27" t="s">
        <v>313</v>
      </c>
      <c r="BG25" s="27" t="s">
        <v>313</v>
      </c>
      <c r="BH25" s="28">
        <v>41883</v>
      </c>
      <c r="BI25" s="28">
        <v>42155</v>
      </c>
      <c r="BJ25" s="27" t="s">
        <v>94</v>
      </c>
      <c r="BK25" s="27" t="s">
        <v>95</v>
      </c>
      <c r="BL25" s="27" t="s">
        <v>96</v>
      </c>
      <c r="BM25" s="27">
        <v>0</v>
      </c>
      <c r="BN25" s="27">
        <v>0</v>
      </c>
      <c r="BO25" s="27" t="s">
        <v>313</v>
      </c>
      <c r="BP25" s="27" t="s">
        <v>315</v>
      </c>
      <c r="BQ25" s="27">
        <v>0</v>
      </c>
      <c r="BR25" s="27" t="s">
        <v>97</v>
      </c>
      <c r="BS25" s="27">
        <v>0</v>
      </c>
      <c r="BT25" s="27" t="s">
        <v>97</v>
      </c>
      <c r="BU25" s="27">
        <v>1</v>
      </c>
      <c r="BV25" s="27" t="s">
        <v>377</v>
      </c>
      <c r="BW25" s="27" t="s">
        <v>378</v>
      </c>
      <c r="BX25" s="27">
        <v>64</v>
      </c>
      <c r="BY25" s="27">
        <v>0</v>
      </c>
      <c r="BZ25" s="27" t="s">
        <v>99</v>
      </c>
      <c r="CA25" s="27" t="s">
        <v>100</v>
      </c>
      <c r="CB25" s="27" t="s">
        <v>101</v>
      </c>
      <c r="CC25" s="28">
        <v>45847</v>
      </c>
      <c r="CE25" t="s">
        <v>385</v>
      </c>
    </row>
    <row r="26" spans="1:83" x14ac:dyDescent="0.3">
      <c r="A26" s="30" t="s">
        <v>294</v>
      </c>
      <c r="B26" s="30" t="s">
        <v>359</v>
      </c>
      <c r="C26" s="27" t="s">
        <v>317</v>
      </c>
      <c r="D26" s="27">
        <v>2019</v>
      </c>
      <c r="E26" s="30" t="s">
        <v>319</v>
      </c>
      <c r="F26" s="30" t="s">
        <v>320</v>
      </c>
      <c r="G26" s="27" t="s">
        <v>78</v>
      </c>
      <c r="H26" s="27">
        <v>1</v>
      </c>
      <c r="I26" s="27" t="s">
        <v>291</v>
      </c>
      <c r="J26" s="27" t="s">
        <v>79</v>
      </c>
      <c r="L26" s="27" t="s">
        <v>129</v>
      </c>
      <c r="M26" s="27" t="s">
        <v>382</v>
      </c>
      <c r="N26" s="27">
        <v>-0.09</v>
      </c>
      <c r="O26" s="27">
        <v>0.25</v>
      </c>
      <c r="P26" s="27">
        <f t="shared" si="0"/>
        <v>-0.36</v>
      </c>
      <c r="Q26" s="27" t="s">
        <v>313</v>
      </c>
      <c r="R26" s="27" t="s">
        <v>313</v>
      </c>
      <c r="S26" s="27" t="s">
        <v>313</v>
      </c>
      <c r="T26" s="27">
        <v>4443</v>
      </c>
      <c r="U26" s="27" t="s">
        <v>313</v>
      </c>
      <c r="V26" s="27">
        <f t="shared" si="6"/>
        <v>4443</v>
      </c>
      <c r="W26" s="27">
        <f t="shared" si="7"/>
        <v>-5.4007989452743484E-3</v>
      </c>
      <c r="X26" s="27">
        <f t="shared" si="8"/>
        <v>1.5002219292428745E-2</v>
      </c>
      <c r="Y26" s="27">
        <f t="shared" si="9"/>
        <v>-5.4007989452743484E-3</v>
      </c>
      <c r="Z26" s="27" t="s">
        <v>81</v>
      </c>
      <c r="AA26" s="32">
        <f t="shared" si="10"/>
        <v>-2.7720000000000002E-3</v>
      </c>
      <c r="AB26" s="32">
        <f t="shared" si="11"/>
        <v>7.7000000000000002E-3</v>
      </c>
      <c r="AC26" s="32">
        <f t="shared" si="5"/>
        <v>-2.7720000000000002E-3</v>
      </c>
      <c r="AD26" s="27" t="s">
        <v>159</v>
      </c>
      <c r="AE26" s="27" t="s">
        <v>297</v>
      </c>
      <c r="AF26" s="27">
        <v>30.8</v>
      </c>
      <c r="AG26" s="27">
        <v>13.83</v>
      </c>
      <c r="AH26" s="27">
        <v>9.52</v>
      </c>
      <c r="AI26" s="27">
        <v>80.8</v>
      </c>
      <c r="AJ26" s="27" t="s">
        <v>83</v>
      </c>
      <c r="AK26" s="27" t="s">
        <v>133</v>
      </c>
      <c r="AL26" s="27" t="s">
        <v>85</v>
      </c>
      <c r="AM26" s="27" t="s">
        <v>110</v>
      </c>
      <c r="AN26" s="27">
        <v>0</v>
      </c>
      <c r="AO26" s="27">
        <v>15</v>
      </c>
      <c r="AP26" s="27" t="s">
        <v>87</v>
      </c>
      <c r="AQ26" s="27" t="s">
        <v>88</v>
      </c>
      <c r="AR26" s="27" t="s">
        <v>89</v>
      </c>
      <c r="AS26" s="27" t="s">
        <v>114</v>
      </c>
      <c r="AT26" s="27" t="s">
        <v>292</v>
      </c>
      <c r="AU26" s="27">
        <v>112.4</v>
      </c>
      <c r="AV26" s="27" t="s">
        <v>313</v>
      </c>
      <c r="AW26" s="27" t="s">
        <v>313</v>
      </c>
      <c r="AX26" s="27" t="s">
        <v>313</v>
      </c>
      <c r="AY26" s="27" t="s">
        <v>91</v>
      </c>
      <c r="AZ26" s="27" t="s">
        <v>84</v>
      </c>
      <c r="BA26" s="27" t="s">
        <v>376</v>
      </c>
      <c r="BB26" s="27" t="s">
        <v>290</v>
      </c>
      <c r="BC26" s="27" t="s">
        <v>316</v>
      </c>
      <c r="BD26" s="27" t="s">
        <v>117</v>
      </c>
      <c r="BE26" s="27" t="s">
        <v>93</v>
      </c>
      <c r="BF26" s="27" t="s">
        <v>313</v>
      </c>
      <c r="BG26" s="27" t="s">
        <v>313</v>
      </c>
      <c r="BH26" s="28">
        <v>41883</v>
      </c>
      <c r="BI26" s="28">
        <v>42155</v>
      </c>
      <c r="BJ26" s="27" t="s">
        <v>94</v>
      </c>
      <c r="BK26" s="27" t="s">
        <v>95</v>
      </c>
      <c r="BL26" s="27" t="s">
        <v>96</v>
      </c>
      <c r="BM26" s="27">
        <v>0</v>
      </c>
      <c r="BN26" s="27">
        <v>0</v>
      </c>
      <c r="BO26" s="27" t="s">
        <v>313</v>
      </c>
      <c r="BP26" s="27" t="s">
        <v>315</v>
      </c>
      <c r="BQ26" s="27">
        <v>0</v>
      </c>
      <c r="BR26" s="27" t="s">
        <v>97</v>
      </c>
      <c r="BS26" s="27">
        <v>0</v>
      </c>
      <c r="BT26" s="27" t="s">
        <v>97</v>
      </c>
      <c r="BU26" s="27">
        <v>1</v>
      </c>
      <c r="BV26" s="27" t="s">
        <v>377</v>
      </c>
      <c r="BW26" s="27" t="s">
        <v>378</v>
      </c>
      <c r="BX26" s="27">
        <v>64</v>
      </c>
      <c r="BY26" s="27">
        <v>0</v>
      </c>
      <c r="BZ26" s="27" t="s">
        <v>99</v>
      </c>
      <c r="CA26" s="27" t="s">
        <v>100</v>
      </c>
      <c r="CB26" s="27" t="s">
        <v>101</v>
      </c>
      <c r="CC26" s="28">
        <v>45847</v>
      </c>
      <c r="CE26" t="s">
        <v>385</v>
      </c>
    </row>
    <row r="27" spans="1:83" x14ac:dyDescent="0.3">
      <c r="A27" s="30" t="s">
        <v>294</v>
      </c>
      <c r="B27" s="30" t="s">
        <v>360</v>
      </c>
      <c r="C27" s="27" t="s">
        <v>317</v>
      </c>
      <c r="D27" s="27">
        <v>2019</v>
      </c>
      <c r="E27" s="30" t="s">
        <v>319</v>
      </c>
      <c r="F27" s="30" t="s">
        <v>320</v>
      </c>
      <c r="G27" s="27" t="s">
        <v>78</v>
      </c>
      <c r="H27" s="27">
        <v>1</v>
      </c>
      <c r="I27" s="27" t="s">
        <v>291</v>
      </c>
      <c r="J27" s="27" t="s">
        <v>79</v>
      </c>
      <c r="L27" s="27" t="s">
        <v>129</v>
      </c>
      <c r="M27" s="27" t="s">
        <v>382</v>
      </c>
      <c r="N27" s="27">
        <v>-0.04</v>
      </c>
      <c r="O27" s="27">
        <v>0.31</v>
      </c>
      <c r="P27" s="27">
        <f t="shared" si="0"/>
        <v>-0.12903225806451613</v>
      </c>
      <c r="Q27" s="27" t="s">
        <v>313</v>
      </c>
      <c r="R27" s="27" t="s">
        <v>313</v>
      </c>
      <c r="S27" s="27" t="s">
        <v>313</v>
      </c>
      <c r="T27" s="27">
        <v>4443</v>
      </c>
      <c r="U27" s="27" t="s">
        <v>313</v>
      </c>
      <c r="V27" s="27">
        <f t="shared" si="6"/>
        <v>4443</v>
      </c>
      <c r="W27" s="27">
        <f t="shared" si="7"/>
        <v>-1.935794836767063E-3</v>
      </c>
      <c r="X27" s="27">
        <f t="shared" si="8"/>
        <v>1.5002409984944736E-2</v>
      </c>
      <c r="Y27" s="27">
        <f t="shared" si="9"/>
        <v>-1.935794836767063E-3</v>
      </c>
      <c r="Z27" s="27" t="s">
        <v>81</v>
      </c>
      <c r="AA27" s="32">
        <f t="shared" si="10"/>
        <v>-1.232E-3</v>
      </c>
      <c r="AB27" s="32">
        <f t="shared" si="11"/>
        <v>9.5479999999999992E-3</v>
      </c>
      <c r="AC27" s="32">
        <f t="shared" si="5"/>
        <v>-1.232E-3</v>
      </c>
      <c r="AD27" s="27" t="s">
        <v>159</v>
      </c>
      <c r="AE27" s="27" t="s">
        <v>297</v>
      </c>
      <c r="AF27" s="27">
        <v>30.8</v>
      </c>
      <c r="AG27" s="27">
        <v>13.83</v>
      </c>
      <c r="AH27" s="27">
        <v>9.52</v>
      </c>
      <c r="AI27" s="27">
        <v>80.8</v>
      </c>
      <c r="AJ27" s="27" t="s">
        <v>83</v>
      </c>
      <c r="AK27" s="27" t="s">
        <v>133</v>
      </c>
      <c r="AL27" s="27" t="s">
        <v>85</v>
      </c>
      <c r="AM27" s="27" t="s">
        <v>110</v>
      </c>
      <c r="AN27" s="27">
        <v>0</v>
      </c>
      <c r="AO27" s="27">
        <v>20</v>
      </c>
      <c r="AP27" s="27" t="s">
        <v>87</v>
      </c>
      <c r="AQ27" s="27" t="s">
        <v>88</v>
      </c>
      <c r="AR27" s="27" t="s">
        <v>89</v>
      </c>
      <c r="AS27" s="27" t="s">
        <v>114</v>
      </c>
      <c r="AT27" s="27" t="s">
        <v>292</v>
      </c>
      <c r="AU27" s="27">
        <v>112.4</v>
      </c>
      <c r="AV27" s="27" t="s">
        <v>313</v>
      </c>
      <c r="AW27" s="27" t="s">
        <v>313</v>
      </c>
      <c r="AX27" s="27" t="s">
        <v>313</v>
      </c>
      <c r="AY27" s="27" t="s">
        <v>91</v>
      </c>
      <c r="AZ27" s="27" t="s">
        <v>84</v>
      </c>
      <c r="BA27" s="27" t="s">
        <v>376</v>
      </c>
      <c r="BB27" s="27" t="s">
        <v>290</v>
      </c>
      <c r="BC27" s="27" t="s">
        <v>316</v>
      </c>
      <c r="BD27" s="27" t="s">
        <v>117</v>
      </c>
      <c r="BE27" s="27" t="s">
        <v>93</v>
      </c>
      <c r="BF27" s="27" t="s">
        <v>313</v>
      </c>
      <c r="BG27" s="27" t="s">
        <v>313</v>
      </c>
      <c r="BH27" s="28">
        <v>41883</v>
      </c>
      <c r="BI27" s="28">
        <v>42155</v>
      </c>
      <c r="BJ27" s="27" t="s">
        <v>94</v>
      </c>
      <c r="BK27" s="27" t="s">
        <v>95</v>
      </c>
      <c r="BL27" s="27" t="s">
        <v>96</v>
      </c>
      <c r="BM27" s="27">
        <v>0</v>
      </c>
      <c r="BN27" s="27">
        <v>0</v>
      </c>
      <c r="BO27" s="27" t="s">
        <v>313</v>
      </c>
      <c r="BP27" s="27" t="s">
        <v>315</v>
      </c>
      <c r="BQ27" s="27">
        <v>0</v>
      </c>
      <c r="BR27" s="27" t="s">
        <v>97</v>
      </c>
      <c r="BS27" s="27">
        <v>0</v>
      </c>
      <c r="BT27" s="27" t="s">
        <v>97</v>
      </c>
      <c r="BU27" s="27">
        <v>1</v>
      </c>
      <c r="BV27" s="27" t="s">
        <v>377</v>
      </c>
      <c r="BW27" s="27" t="s">
        <v>378</v>
      </c>
      <c r="BX27" s="27">
        <v>64</v>
      </c>
      <c r="BY27" s="27">
        <v>0</v>
      </c>
      <c r="BZ27" s="27" t="s">
        <v>99</v>
      </c>
      <c r="CA27" s="27" t="s">
        <v>100</v>
      </c>
      <c r="CB27" s="27" t="s">
        <v>101</v>
      </c>
      <c r="CC27" s="28">
        <v>45847</v>
      </c>
      <c r="CE27" t="s">
        <v>385</v>
      </c>
    </row>
    <row r="28" spans="1:83" x14ac:dyDescent="0.3">
      <c r="A28" s="30" t="s">
        <v>294</v>
      </c>
      <c r="B28" s="30" t="s">
        <v>361</v>
      </c>
      <c r="C28" s="27" t="s">
        <v>317</v>
      </c>
      <c r="D28" s="27">
        <v>2019</v>
      </c>
      <c r="E28" s="30" t="s">
        <v>319</v>
      </c>
      <c r="F28" s="30" t="s">
        <v>320</v>
      </c>
      <c r="G28" s="27" t="s">
        <v>78</v>
      </c>
      <c r="H28" s="27">
        <v>1</v>
      </c>
      <c r="I28" s="27" t="s">
        <v>291</v>
      </c>
      <c r="J28" s="27" t="s">
        <v>79</v>
      </c>
      <c r="L28" s="27" t="s">
        <v>129</v>
      </c>
      <c r="M28" s="27" t="s">
        <v>382</v>
      </c>
      <c r="N28" s="27">
        <v>-1.1599999999999999</v>
      </c>
      <c r="O28" s="27">
        <v>0.44</v>
      </c>
      <c r="P28" s="27">
        <f t="shared" si="0"/>
        <v>-2.6363636363636362</v>
      </c>
      <c r="Q28" s="27" t="s">
        <v>313</v>
      </c>
      <c r="R28" s="27" t="s">
        <v>313</v>
      </c>
      <c r="S28" s="27" t="s">
        <v>313</v>
      </c>
      <c r="T28" s="27">
        <v>4443</v>
      </c>
      <c r="U28" s="27" t="s">
        <v>313</v>
      </c>
      <c r="V28" s="27">
        <f t="shared" si="6"/>
        <v>4443</v>
      </c>
      <c r="W28" s="27">
        <f t="shared" si="7"/>
        <v>-3.9520981977078144E-2</v>
      </c>
      <c r="X28" s="27">
        <f t="shared" si="8"/>
        <v>1.499071730165033E-2</v>
      </c>
      <c r="Y28" s="27">
        <f t="shared" si="9"/>
        <v>-3.9520981977078144E-2</v>
      </c>
      <c r="Z28" s="27" t="s">
        <v>81</v>
      </c>
      <c r="AA28" s="32">
        <f t="shared" si="10"/>
        <v>-3.5727999999999996E-2</v>
      </c>
      <c r="AB28" s="32">
        <f t="shared" si="11"/>
        <v>1.3552000000000002E-2</v>
      </c>
      <c r="AC28" s="32">
        <f t="shared" si="5"/>
        <v>-3.5727999999999996E-2</v>
      </c>
      <c r="AD28" s="27" t="s">
        <v>159</v>
      </c>
      <c r="AE28" s="27" t="s">
        <v>297</v>
      </c>
      <c r="AF28" s="27">
        <v>30.8</v>
      </c>
      <c r="AG28" s="27">
        <v>13.83</v>
      </c>
      <c r="AH28" s="27">
        <v>9.52</v>
      </c>
      <c r="AI28" s="27">
        <v>80.8</v>
      </c>
      <c r="AJ28" s="27" t="s">
        <v>83</v>
      </c>
      <c r="AK28" s="27" t="s">
        <v>133</v>
      </c>
      <c r="AL28" s="27" t="s">
        <v>85</v>
      </c>
      <c r="AM28" s="27" t="s">
        <v>110</v>
      </c>
      <c r="AN28" s="27">
        <v>0</v>
      </c>
      <c r="AO28" s="27">
        <v>25</v>
      </c>
      <c r="AP28" s="27" t="s">
        <v>87</v>
      </c>
      <c r="AQ28" s="27" t="s">
        <v>88</v>
      </c>
      <c r="AR28" s="27" t="s">
        <v>89</v>
      </c>
      <c r="AS28" s="27" t="s">
        <v>114</v>
      </c>
      <c r="AT28" s="27" t="s">
        <v>292</v>
      </c>
      <c r="AU28" s="27">
        <v>112.4</v>
      </c>
      <c r="AV28" s="27" t="s">
        <v>313</v>
      </c>
      <c r="AW28" s="27" t="s">
        <v>313</v>
      </c>
      <c r="AX28" s="27" t="s">
        <v>313</v>
      </c>
      <c r="AY28" s="27" t="s">
        <v>91</v>
      </c>
      <c r="AZ28" s="27" t="s">
        <v>84</v>
      </c>
      <c r="BA28" s="27" t="s">
        <v>376</v>
      </c>
      <c r="BB28" s="27" t="s">
        <v>290</v>
      </c>
      <c r="BC28" s="27" t="s">
        <v>316</v>
      </c>
      <c r="BD28" s="27" t="s">
        <v>117</v>
      </c>
      <c r="BE28" s="27" t="s">
        <v>93</v>
      </c>
      <c r="BF28" s="27" t="s">
        <v>313</v>
      </c>
      <c r="BG28" s="27" t="s">
        <v>313</v>
      </c>
      <c r="BH28" s="28">
        <v>41883</v>
      </c>
      <c r="BI28" s="28">
        <v>42155</v>
      </c>
      <c r="BJ28" s="27" t="s">
        <v>94</v>
      </c>
      <c r="BK28" s="27" t="s">
        <v>95</v>
      </c>
      <c r="BL28" s="27" t="s">
        <v>96</v>
      </c>
      <c r="BM28" s="27">
        <v>0</v>
      </c>
      <c r="BN28" s="27">
        <v>0</v>
      </c>
      <c r="BO28" s="27" t="s">
        <v>313</v>
      </c>
      <c r="BP28" s="27" t="s">
        <v>315</v>
      </c>
      <c r="BQ28" s="27">
        <v>0</v>
      </c>
      <c r="BR28" s="27" t="s">
        <v>97</v>
      </c>
      <c r="BS28" s="27">
        <v>0</v>
      </c>
      <c r="BT28" s="27" t="s">
        <v>97</v>
      </c>
      <c r="BU28" s="27">
        <v>1</v>
      </c>
      <c r="BV28" s="27" t="s">
        <v>377</v>
      </c>
      <c r="BW28" s="27" t="s">
        <v>378</v>
      </c>
      <c r="BX28" s="27">
        <v>64</v>
      </c>
      <c r="BY28" s="27">
        <v>0</v>
      </c>
      <c r="BZ28" s="27" t="s">
        <v>99</v>
      </c>
      <c r="CA28" s="27" t="s">
        <v>100</v>
      </c>
      <c r="CB28" s="27" t="s">
        <v>101</v>
      </c>
      <c r="CC28" s="28">
        <v>45847</v>
      </c>
      <c r="CE28" t="s">
        <v>385</v>
      </c>
    </row>
    <row r="29" spans="1:83" x14ac:dyDescent="0.3">
      <c r="A29" s="30" t="s">
        <v>294</v>
      </c>
      <c r="B29" s="30" t="s">
        <v>362</v>
      </c>
      <c r="C29" s="27" t="s">
        <v>317</v>
      </c>
      <c r="D29" s="27">
        <v>2019</v>
      </c>
      <c r="E29" s="30" t="s">
        <v>319</v>
      </c>
      <c r="F29" s="30" t="s">
        <v>320</v>
      </c>
      <c r="G29" s="27" t="s">
        <v>78</v>
      </c>
      <c r="H29" s="27">
        <v>1</v>
      </c>
      <c r="I29" s="27" t="s">
        <v>291</v>
      </c>
      <c r="J29" s="27" t="s">
        <v>79</v>
      </c>
      <c r="L29" s="27" t="s">
        <v>129</v>
      </c>
      <c r="M29" s="27" t="s">
        <v>382</v>
      </c>
      <c r="N29" s="27">
        <v>-1.1299999999999999</v>
      </c>
      <c r="O29" s="27">
        <v>0.45</v>
      </c>
      <c r="P29" s="27">
        <f t="shared" si="0"/>
        <v>-2.5111111111111106</v>
      </c>
      <c r="Q29" s="27" t="s">
        <v>313</v>
      </c>
      <c r="R29" s="27" t="s">
        <v>313</v>
      </c>
      <c r="S29" s="27" t="s">
        <v>313</v>
      </c>
      <c r="T29" s="27">
        <v>4443</v>
      </c>
      <c r="U29" s="27" t="s">
        <v>313</v>
      </c>
      <c r="V29" s="27">
        <f t="shared" si="6"/>
        <v>4443</v>
      </c>
      <c r="W29" s="27">
        <f t="shared" si="7"/>
        <v>-3.7646084068238599E-2</v>
      </c>
      <c r="X29" s="27">
        <f t="shared" si="8"/>
        <v>1.4991803390006523E-2</v>
      </c>
      <c r="Y29" s="27">
        <f t="shared" si="9"/>
        <v>-3.7646084068238599E-2</v>
      </c>
      <c r="Z29" s="27" t="s">
        <v>81</v>
      </c>
      <c r="AA29" s="32">
        <f t="shared" si="10"/>
        <v>-3.4804000000000002E-2</v>
      </c>
      <c r="AB29" s="32">
        <f t="shared" si="11"/>
        <v>1.3860000000000003E-2</v>
      </c>
      <c r="AC29" s="32">
        <f t="shared" si="5"/>
        <v>-3.4804000000000002E-2</v>
      </c>
      <c r="AD29" s="27" t="s">
        <v>159</v>
      </c>
      <c r="AE29" s="27" t="s">
        <v>297</v>
      </c>
      <c r="AF29" s="27">
        <v>30.8</v>
      </c>
      <c r="AG29" s="27">
        <v>13.83</v>
      </c>
      <c r="AH29" s="27">
        <v>9.52</v>
      </c>
      <c r="AI29" s="27">
        <v>80.8</v>
      </c>
      <c r="AJ29" s="27" t="s">
        <v>83</v>
      </c>
      <c r="AK29" s="27" t="s">
        <v>133</v>
      </c>
      <c r="AL29" s="27" t="s">
        <v>85</v>
      </c>
      <c r="AM29" s="27" t="s">
        <v>110</v>
      </c>
      <c r="AN29" s="27">
        <v>0</v>
      </c>
      <c r="AO29" s="27">
        <v>30</v>
      </c>
      <c r="AP29" s="27" t="s">
        <v>87</v>
      </c>
      <c r="AQ29" s="27" t="s">
        <v>88</v>
      </c>
      <c r="AR29" s="27" t="s">
        <v>89</v>
      </c>
      <c r="AS29" s="27" t="s">
        <v>114</v>
      </c>
      <c r="AT29" s="27" t="s">
        <v>292</v>
      </c>
      <c r="AU29" s="27">
        <v>112.4</v>
      </c>
      <c r="AV29" s="27" t="s">
        <v>313</v>
      </c>
      <c r="AW29" s="27" t="s">
        <v>313</v>
      </c>
      <c r="AX29" s="27" t="s">
        <v>313</v>
      </c>
      <c r="AY29" s="27" t="s">
        <v>91</v>
      </c>
      <c r="AZ29" s="27" t="s">
        <v>84</v>
      </c>
      <c r="BA29" s="27" t="s">
        <v>376</v>
      </c>
      <c r="BB29" s="27" t="s">
        <v>290</v>
      </c>
      <c r="BC29" s="27" t="s">
        <v>316</v>
      </c>
      <c r="BD29" s="27" t="s">
        <v>117</v>
      </c>
      <c r="BE29" s="27" t="s">
        <v>93</v>
      </c>
      <c r="BF29" s="27" t="s">
        <v>313</v>
      </c>
      <c r="BG29" s="27" t="s">
        <v>313</v>
      </c>
      <c r="BH29" s="28">
        <v>41883</v>
      </c>
      <c r="BI29" s="28">
        <v>42155</v>
      </c>
      <c r="BJ29" s="27" t="s">
        <v>94</v>
      </c>
      <c r="BK29" s="27" t="s">
        <v>95</v>
      </c>
      <c r="BL29" s="27" t="s">
        <v>96</v>
      </c>
      <c r="BM29" s="27">
        <v>0</v>
      </c>
      <c r="BN29" s="27">
        <v>0</v>
      </c>
      <c r="BO29" s="27" t="s">
        <v>313</v>
      </c>
      <c r="BP29" s="27" t="s">
        <v>315</v>
      </c>
      <c r="BQ29" s="27">
        <v>0</v>
      </c>
      <c r="BR29" s="27" t="s">
        <v>97</v>
      </c>
      <c r="BS29" s="27">
        <v>0</v>
      </c>
      <c r="BT29" s="27" t="s">
        <v>97</v>
      </c>
      <c r="BU29" s="27">
        <v>1</v>
      </c>
      <c r="BV29" s="27" t="s">
        <v>377</v>
      </c>
      <c r="BW29" s="27" t="s">
        <v>378</v>
      </c>
      <c r="BX29" s="27">
        <v>64</v>
      </c>
      <c r="BY29" s="27">
        <v>0</v>
      </c>
      <c r="BZ29" s="27" t="s">
        <v>99</v>
      </c>
      <c r="CA29" s="27" t="s">
        <v>100</v>
      </c>
      <c r="CB29" s="27" t="s">
        <v>101</v>
      </c>
      <c r="CC29" s="28">
        <v>45847</v>
      </c>
      <c r="CE29" t="s">
        <v>385</v>
      </c>
    </row>
    <row r="30" spans="1:83" x14ac:dyDescent="0.3">
      <c r="A30" s="30" t="s">
        <v>294</v>
      </c>
      <c r="B30" s="30" t="s">
        <v>363</v>
      </c>
      <c r="C30" s="27" t="s">
        <v>317</v>
      </c>
      <c r="D30" s="27">
        <v>2019</v>
      </c>
      <c r="E30" s="30" t="s">
        <v>319</v>
      </c>
      <c r="F30" s="30" t="s">
        <v>320</v>
      </c>
      <c r="G30" s="27" t="s">
        <v>78</v>
      </c>
      <c r="H30" s="27">
        <v>1</v>
      </c>
      <c r="I30" s="27" t="s">
        <v>291</v>
      </c>
      <c r="J30" s="27" t="s">
        <v>79</v>
      </c>
      <c r="L30" s="27" t="s">
        <v>129</v>
      </c>
      <c r="M30" s="27" t="s">
        <v>382</v>
      </c>
      <c r="N30" s="27">
        <v>-0.14000000000000001</v>
      </c>
      <c r="O30" s="27">
        <v>0.09</v>
      </c>
      <c r="P30" s="27">
        <f t="shared" si="0"/>
        <v>-1.5555555555555558</v>
      </c>
      <c r="Q30" s="27" t="s">
        <v>313</v>
      </c>
      <c r="R30" s="27" t="s">
        <v>313</v>
      </c>
      <c r="S30" s="27" t="s">
        <v>313</v>
      </c>
      <c r="T30" s="27">
        <v>5054</v>
      </c>
      <c r="U30" s="27" t="s">
        <v>313</v>
      </c>
      <c r="V30" s="27">
        <f t="shared" si="6"/>
        <v>5054</v>
      </c>
      <c r="W30" s="27">
        <f t="shared" si="7"/>
        <v>-2.1875801130433463E-2</v>
      </c>
      <c r="X30" s="27">
        <f t="shared" si="8"/>
        <v>1.406301501242151E-2</v>
      </c>
      <c r="Y30" s="27">
        <f t="shared" si="9"/>
        <v>-2.1875801130433463E-2</v>
      </c>
      <c r="Z30" s="27" t="s">
        <v>81</v>
      </c>
      <c r="AA30" s="32">
        <f t="shared" si="10"/>
        <v>-1.3868400000000003E-2</v>
      </c>
      <c r="AB30" s="32">
        <f t="shared" si="11"/>
        <v>8.9154000000000004E-3</v>
      </c>
      <c r="AC30" s="32">
        <f t="shared" si="5"/>
        <v>-1.3868400000000003E-2</v>
      </c>
      <c r="AD30" s="27" t="s">
        <v>82</v>
      </c>
      <c r="AE30" s="27" t="s">
        <v>297</v>
      </c>
      <c r="AF30" s="27">
        <v>99.06</v>
      </c>
      <c r="AG30" s="27">
        <v>49.79</v>
      </c>
      <c r="AH30" s="27">
        <v>23.55</v>
      </c>
      <c r="AI30" s="27">
        <v>342.58</v>
      </c>
      <c r="AJ30" s="27" t="s">
        <v>83</v>
      </c>
      <c r="AK30" s="27" t="s">
        <v>133</v>
      </c>
      <c r="AL30" s="27" t="s">
        <v>85</v>
      </c>
      <c r="AM30" s="27" t="s">
        <v>110</v>
      </c>
      <c r="AN30" s="27">
        <v>0</v>
      </c>
      <c r="AO30" s="27">
        <v>5</v>
      </c>
      <c r="AP30" s="27" t="s">
        <v>87</v>
      </c>
      <c r="AQ30" s="27" t="s">
        <v>88</v>
      </c>
      <c r="AR30" s="27" t="s">
        <v>89</v>
      </c>
      <c r="AS30" s="27" t="s">
        <v>114</v>
      </c>
      <c r="AT30" s="27" t="s">
        <v>293</v>
      </c>
      <c r="AU30" s="27">
        <v>119.6</v>
      </c>
      <c r="AV30" s="27" t="s">
        <v>313</v>
      </c>
      <c r="AW30" s="27" t="s">
        <v>313</v>
      </c>
      <c r="AX30" s="27" t="s">
        <v>313</v>
      </c>
      <c r="AY30" s="27" t="s">
        <v>91</v>
      </c>
      <c r="AZ30" s="27" t="s">
        <v>84</v>
      </c>
      <c r="BA30" s="27" t="s">
        <v>376</v>
      </c>
      <c r="BB30" s="27" t="s">
        <v>290</v>
      </c>
      <c r="BC30" s="27" t="s">
        <v>316</v>
      </c>
      <c r="BD30" s="27" t="s">
        <v>117</v>
      </c>
      <c r="BE30" s="27" t="s">
        <v>93</v>
      </c>
      <c r="BF30" s="27" t="s">
        <v>313</v>
      </c>
      <c r="BG30" s="27" t="s">
        <v>313</v>
      </c>
      <c r="BH30" s="28">
        <v>41730</v>
      </c>
      <c r="BI30" s="28">
        <v>42155</v>
      </c>
      <c r="BJ30" s="27" t="s">
        <v>94</v>
      </c>
      <c r="BK30" s="27" t="s">
        <v>95</v>
      </c>
      <c r="BL30" s="27" t="s">
        <v>96</v>
      </c>
      <c r="BM30" s="27">
        <v>0</v>
      </c>
      <c r="BN30" s="27">
        <v>0</v>
      </c>
      <c r="BO30" s="27" t="s">
        <v>313</v>
      </c>
      <c r="BP30" s="27" t="s">
        <v>315</v>
      </c>
      <c r="BQ30" s="27">
        <v>0</v>
      </c>
      <c r="BR30" s="27" t="s">
        <v>97</v>
      </c>
      <c r="BS30" s="27">
        <v>0</v>
      </c>
      <c r="BT30" s="27" t="s">
        <v>97</v>
      </c>
      <c r="BU30" s="27">
        <v>1</v>
      </c>
      <c r="BV30" s="27" t="s">
        <v>377</v>
      </c>
      <c r="BW30" s="27" t="s">
        <v>378</v>
      </c>
      <c r="BX30" s="27">
        <v>64</v>
      </c>
      <c r="BY30" s="27">
        <v>0</v>
      </c>
      <c r="BZ30" s="27" t="s">
        <v>99</v>
      </c>
      <c r="CA30" s="27" t="s">
        <v>100</v>
      </c>
      <c r="CB30" s="27" t="s">
        <v>101</v>
      </c>
      <c r="CC30" s="28">
        <v>45847</v>
      </c>
      <c r="CE30" t="s">
        <v>385</v>
      </c>
    </row>
    <row r="31" spans="1:83" x14ac:dyDescent="0.3">
      <c r="A31" s="30" t="s">
        <v>294</v>
      </c>
      <c r="B31" s="30" t="s">
        <v>364</v>
      </c>
      <c r="C31" s="27" t="s">
        <v>317</v>
      </c>
      <c r="D31" s="27">
        <v>2019</v>
      </c>
      <c r="E31" s="30" t="s">
        <v>319</v>
      </c>
      <c r="F31" s="30" t="s">
        <v>320</v>
      </c>
      <c r="G31" s="27" t="s">
        <v>78</v>
      </c>
      <c r="H31" s="27">
        <v>1</v>
      </c>
      <c r="I31" s="27" t="s">
        <v>291</v>
      </c>
      <c r="J31" s="27" t="s">
        <v>79</v>
      </c>
      <c r="L31" s="27" t="s">
        <v>129</v>
      </c>
      <c r="M31" s="27" t="s">
        <v>382</v>
      </c>
      <c r="N31" s="27">
        <v>-0.27</v>
      </c>
      <c r="O31" s="27">
        <v>0.13</v>
      </c>
      <c r="P31" s="27">
        <f t="shared" si="0"/>
        <v>-2.0769230769230771</v>
      </c>
      <c r="Q31" s="27" t="s">
        <v>313</v>
      </c>
      <c r="R31" s="27" t="s">
        <v>313</v>
      </c>
      <c r="S31" s="27" t="s">
        <v>313</v>
      </c>
      <c r="T31" s="27">
        <v>5054</v>
      </c>
      <c r="U31" s="27" t="s">
        <v>313</v>
      </c>
      <c r="V31" s="27">
        <f t="shared" si="6"/>
        <v>5054</v>
      </c>
      <c r="W31" s="27">
        <f t="shared" si="7"/>
        <v>-2.9202332129677645E-2</v>
      </c>
      <c r="X31" s="27">
        <f t="shared" si="8"/>
        <v>1.4060382136511458E-2</v>
      </c>
      <c r="Y31" s="27">
        <f t="shared" si="9"/>
        <v>-2.9202332129677645E-2</v>
      </c>
      <c r="Z31" s="27" t="s">
        <v>81</v>
      </c>
      <c r="AA31" s="32">
        <f t="shared" si="10"/>
        <v>-2.6746200000000005E-2</v>
      </c>
      <c r="AB31" s="32">
        <f t="shared" si="11"/>
        <v>1.28778E-2</v>
      </c>
      <c r="AC31" s="32">
        <f t="shared" si="5"/>
        <v>-2.6746200000000005E-2</v>
      </c>
      <c r="AD31" s="27" t="s">
        <v>82</v>
      </c>
      <c r="AE31" s="27" t="s">
        <v>297</v>
      </c>
      <c r="AF31" s="27">
        <v>99.06</v>
      </c>
      <c r="AG31" s="27">
        <v>49.79</v>
      </c>
      <c r="AH31" s="27">
        <v>23.55</v>
      </c>
      <c r="AI31" s="27">
        <v>342.58</v>
      </c>
      <c r="AJ31" s="27" t="s">
        <v>83</v>
      </c>
      <c r="AK31" s="27" t="s">
        <v>133</v>
      </c>
      <c r="AL31" s="27" t="s">
        <v>85</v>
      </c>
      <c r="AM31" s="27" t="s">
        <v>110</v>
      </c>
      <c r="AN31" s="27">
        <v>0</v>
      </c>
      <c r="AO31" s="27">
        <v>10</v>
      </c>
      <c r="AP31" s="27" t="s">
        <v>87</v>
      </c>
      <c r="AQ31" s="27" t="s">
        <v>88</v>
      </c>
      <c r="AR31" s="27" t="s">
        <v>89</v>
      </c>
      <c r="AS31" s="27" t="s">
        <v>114</v>
      </c>
      <c r="AT31" s="27" t="s">
        <v>293</v>
      </c>
      <c r="AU31" s="27">
        <v>119.6</v>
      </c>
      <c r="AV31" s="27" t="s">
        <v>313</v>
      </c>
      <c r="AW31" s="27" t="s">
        <v>313</v>
      </c>
      <c r="AX31" s="27" t="s">
        <v>313</v>
      </c>
      <c r="AY31" s="27" t="s">
        <v>91</v>
      </c>
      <c r="AZ31" s="27" t="s">
        <v>84</v>
      </c>
      <c r="BA31" s="27" t="s">
        <v>376</v>
      </c>
      <c r="BB31" s="27" t="s">
        <v>290</v>
      </c>
      <c r="BC31" s="27" t="s">
        <v>316</v>
      </c>
      <c r="BD31" s="27" t="s">
        <v>117</v>
      </c>
      <c r="BE31" s="27" t="s">
        <v>93</v>
      </c>
      <c r="BF31" s="27" t="s">
        <v>313</v>
      </c>
      <c r="BG31" s="27" t="s">
        <v>313</v>
      </c>
      <c r="BH31" s="28">
        <v>41730</v>
      </c>
      <c r="BI31" s="28">
        <v>42155</v>
      </c>
      <c r="BJ31" s="27" t="s">
        <v>94</v>
      </c>
      <c r="BK31" s="27" t="s">
        <v>95</v>
      </c>
      <c r="BL31" s="27" t="s">
        <v>96</v>
      </c>
      <c r="BM31" s="27">
        <v>0</v>
      </c>
      <c r="BN31" s="27">
        <v>0</v>
      </c>
      <c r="BO31" s="27" t="s">
        <v>313</v>
      </c>
      <c r="BP31" s="27" t="s">
        <v>315</v>
      </c>
      <c r="BQ31" s="27">
        <v>0</v>
      </c>
      <c r="BR31" s="27" t="s">
        <v>97</v>
      </c>
      <c r="BS31" s="27">
        <v>0</v>
      </c>
      <c r="BT31" s="27" t="s">
        <v>97</v>
      </c>
      <c r="BU31" s="27">
        <v>1</v>
      </c>
      <c r="BV31" s="27" t="s">
        <v>377</v>
      </c>
      <c r="BW31" s="27" t="s">
        <v>378</v>
      </c>
      <c r="BX31" s="27">
        <v>64</v>
      </c>
      <c r="BY31" s="27">
        <v>0</v>
      </c>
      <c r="BZ31" s="27" t="s">
        <v>99</v>
      </c>
      <c r="CA31" s="27" t="s">
        <v>100</v>
      </c>
      <c r="CB31" s="27" t="s">
        <v>101</v>
      </c>
      <c r="CC31" s="28">
        <v>45847</v>
      </c>
      <c r="CE31" t="s">
        <v>385</v>
      </c>
    </row>
    <row r="32" spans="1:83" x14ac:dyDescent="0.3">
      <c r="A32" s="30" t="s">
        <v>294</v>
      </c>
      <c r="B32" s="30" t="s">
        <v>365</v>
      </c>
      <c r="C32" s="27" t="s">
        <v>317</v>
      </c>
      <c r="D32" s="27">
        <v>2019</v>
      </c>
      <c r="E32" s="30" t="s">
        <v>319</v>
      </c>
      <c r="F32" s="30" t="s">
        <v>320</v>
      </c>
      <c r="G32" s="27" t="s">
        <v>78</v>
      </c>
      <c r="H32" s="27">
        <v>1</v>
      </c>
      <c r="I32" s="27" t="s">
        <v>291</v>
      </c>
      <c r="J32" s="27" t="s">
        <v>79</v>
      </c>
      <c r="L32" s="27" t="s">
        <v>129</v>
      </c>
      <c r="M32" s="27" t="s">
        <v>382</v>
      </c>
      <c r="N32" s="27">
        <v>-0.17</v>
      </c>
      <c r="O32" s="27">
        <v>0.17</v>
      </c>
      <c r="P32" s="27">
        <f t="shared" si="0"/>
        <v>-1</v>
      </c>
      <c r="Q32" s="27" t="s">
        <v>313</v>
      </c>
      <c r="R32" s="27" t="s">
        <v>313</v>
      </c>
      <c r="S32" s="27" t="s">
        <v>313</v>
      </c>
      <c r="T32" s="27">
        <v>5054</v>
      </c>
      <c r="U32" s="27" t="s">
        <v>313</v>
      </c>
      <c r="V32" s="27">
        <f t="shared" si="6"/>
        <v>5054</v>
      </c>
      <c r="W32" s="27">
        <f t="shared" si="7"/>
        <v>-1.4064989751021514E-2</v>
      </c>
      <c r="X32" s="27">
        <f t="shared" si="8"/>
        <v>1.4064989751021514E-2</v>
      </c>
      <c r="Y32" s="27">
        <f t="shared" si="9"/>
        <v>-1.4064989751021514E-2</v>
      </c>
      <c r="Z32" s="27" t="s">
        <v>81</v>
      </c>
      <c r="AA32" s="32">
        <f t="shared" si="10"/>
        <v>-1.6840200000000003E-2</v>
      </c>
      <c r="AB32" s="32">
        <f t="shared" si="11"/>
        <v>1.6840200000000003E-2</v>
      </c>
      <c r="AC32" s="32">
        <f t="shared" si="5"/>
        <v>-1.6840200000000003E-2</v>
      </c>
      <c r="AD32" s="27" t="s">
        <v>82</v>
      </c>
      <c r="AE32" s="27" t="s">
        <v>297</v>
      </c>
      <c r="AF32" s="27">
        <v>99.06</v>
      </c>
      <c r="AG32" s="27">
        <v>49.79</v>
      </c>
      <c r="AH32" s="27">
        <v>23.55</v>
      </c>
      <c r="AI32" s="27">
        <v>342.58</v>
      </c>
      <c r="AJ32" s="27" t="s">
        <v>83</v>
      </c>
      <c r="AK32" s="27" t="s">
        <v>133</v>
      </c>
      <c r="AL32" s="27" t="s">
        <v>85</v>
      </c>
      <c r="AM32" s="27" t="s">
        <v>110</v>
      </c>
      <c r="AN32" s="27">
        <v>0</v>
      </c>
      <c r="AO32" s="27">
        <v>15</v>
      </c>
      <c r="AP32" s="27" t="s">
        <v>87</v>
      </c>
      <c r="AQ32" s="27" t="s">
        <v>88</v>
      </c>
      <c r="AR32" s="27" t="s">
        <v>89</v>
      </c>
      <c r="AS32" s="27" t="s">
        <v>114</v>
      </c>
      <c r="AT32" s="27" t="s">
        <v>293</v>
      </c>
      <c r="AU32" s="27">
        <v>119.6</v>
      </c>
      <c r="AV32" s="27" t="s">
        <v>313</v>
      </c>
      <c r="AW32" s="27" t="s">
        <v>313</v>
      </c>
      <c r="AX32" s="27" t="s">
        <v>313</v>
      </c>
      <c r="AY32" s="27" t="s">
        <v>91</v>
      </c>
      <c r="AZ32" s="27" t="s">
        <v>84</v>
      </c>
      <c r="BA32" s="27" t="s">
        <v>376</v>
      </c>
      <c r="BB32" s="27" t="s">
        <v>290</v>
      </c>
      <c r="BC32" s="27" t="s">
        <v>316</v>
      </c>
      <c r="BD32" s="27" t="s">
        <v>117</v>
      </c>
      <c r="BE32" s="27" t="s">
        <v>93</v>
      </c>
      <c r="BF32" s="27" t="s">
        <v>313</v>
      </c>
      <c r="BG32" s="27" t="s">
        <v>313</v>
      </c>
      <c r="BH32" s="28">
        <v>41730</v>
      </c>
      <c r="BI32" s="28">
        <v>42155</v>
      </c>
      <c r="BJ32" s="27" t="s">
        <v>94</v>
      </c>
      <c r="BK32" s="27" t="s">
        <v>95</v>
      </c>
      <c r="BL32" s="27" t="s">
        <v>96</v>
      </c>
      <c r="BM32" s="27">
        <v>0</v>
      </c>
      <c r="BN32" s="27">
        <v>0</v>
      </c>
      <c r="BO32" s="27" t="s">
        <v>313</v>
      </c>
      <c r="BP32" s="27" t="s">
        <v>315</v>
      </c>
      <c r="BQ32" s="27">
        <v>0</v>
      </c>
      <c r="BR32" s="27" t="s">
        <v>97</v>
      </c>
      <c r="BS32" s="27">
        <v>0</v>
      </c>
      <c r="BT32" s="27" t="s">
        <v>97</v>
      </c>
      <c r="BU32" s="27">
        <v>1</v>
      </c>
      <c r="BV32" s="27" t="s">
        <v>377</v>
      </c>
      <c r="BW32" s="27" t="s">
        <v>378</v>
      </c>
      <c r="BX32" s="27">
        <v>64</v>
      </c>
      <c r="BY32" s="27">
        <v>0</v>
      </c>
      <c r="BZ32" s="27" t="s">
        <v>99</v>
      </c>
      <c r="CA32" s="27" t="s">
        <v>100</v>
      </c>
      <c r="CB32" s="27" t="s">
        <v>101</v>
      </c>
      <c r="CC32" s="28">
        <v>45847</v>
      </c>
      <c r="CE32" t="s">
        <v>385</v>
      </c>
    </row>
    <row r="33" spans="1:83" x14ac:dyDescent="0.3">
      <c r="A33" s="30" t="s">
        <v>294</v>
      </c>
      <c r="B33" s="30" t="s">
        <v>366</v>
      </c>
      <c r="C33" s="27" t="s">
        <v>317</v>
      </c>
      <c r="D33" s="27">
        <v>2019</v>
      </c>
      <c r="E33" s="30" t="s">
        <v>319</v>
      </c>
      <c r="F33" s="30" t="s">
        <v>320</v>
      </c>
      <c r="G33" s="27" t="s">
        <v>78</v>
      </c>
      <c r="H33" s="27">
        <v>1</v>
      </c>
      <c r="I33" s="27" t="s">
        <v>291</v>
      </c>
      <c r="J33" s="27" t="s">
        <v>79</v>
      </c>
      <c r="L33" s="27" t="s">
        <v>129</v>
      </c>
      <c r="M33" s="27" t="s">
        <v>382</v>
      </c>
      <c r="N33" s="27">
        <v>-0.2</v>
      </c>
      <c r="O33" s="27">
        <v>0.19</v>
      </c>
      <c r="P33" s="27">
        <f t="shared" si="0"/>
        <v>-1.0526315789473684</v>
      </c>
      <c r="Q33" s="27" t="s">
        <v>313</v>
      </c>
      <c r="R33" s="27" t="s">
        <v>313</v>
      </c>
      <c r="S33" s="27" t="s">
        <v>313</v>
      </c>
      <c r="T33" s="27">
        <v>5054</v>
      </c>
      <c r="U33" s="27" t="s">
        <v>313</v>
      </c>
      <c r="V33" s="27">
        <f t="shared" si="6"/>
        <v>5054</v>
      </c>
      <c r="W33" s="27">
        <f t="shared" si="7"/>
        <v>-1.4805094166354836E-2</v>
      </c>
      <c r="X33" s="27">
        <f t="shared" si="8"/>
        <v>1.4064839458037097E-2</v>
      </c>
      <c r="Y33" s="27">
        <f t="shared" si="9"/>
        <v>-1.4805094166354836E-2</v>
      </c>
      <c r="Z33" s="27" t="s">
        <v>81</v>
      </c>
      <c r="AA33" s="32">
        <f t="shared" si="10"/>
        <v>-1.9812000000000003E-2</v>
      </c>
      <c r="AB33" s="32">
        <f t="shared" si="11"/>
        <v>1.8821400000000002E-2</v>
      </c>
      <c r="AC33" s="32">
        <f t="shared" si="5"/>
        <v>-1.9812000000000003E-2</v>
      </c>
      <c r="AD33" s="27" t="s">
        <v>82</v>
      </c>
      <c r="AE33" s="27" t="s">
        <v>297</v>
      </c>
      <c r="AF33" s="27">
        <v>99.06</v>
      </c>
      <c r="AG33" s="27">
        <v>49.79</v>
      </c>
      <c r="AH33" s="27">
        <v>23.55</v>
      </c>
      <c r="AI33" s="27">
        <v>342.58</v>
      </c>
      <c r="AJ33" s="27" t="s">
        <v>83</v>
      </c>
      <c r="AK33" s="27" t="s">
        <v>133</v>
      </c>
      <c r="AL33" s="27" t="s">
        <v>85</v>
      </c>
      <c r="AM33" s="27" t="s">
        <v>110</v>
      </c>
      <c r="AN33" s="27">
        <v>0</v>
      </c>
      <c r="AO33" s="27">
        <v>20</v>
      </c>
      <c r="AP33" s="27" t="s">
        <v>87</v>
      </c>
      <c r="AQ33" s="27" t="s">
        <v>88</v>
      </c>
      <c r="AR33" s="27" t="s">
        <v>89</v>
      </c>
      <c r="AS33" s="27" t="s">
        <v>114</v>
      </c>
      <c r="AT33" s="27" t="s">
        <v>293</v>
      </c>
      <c r="AU33" s="27">
        <v>119.6</v>
      </c>
      <c r="AV33" s="27" t="s">
        <v>313</v>
      </c>
      <c r="AW33" s="27" t="s">
        <v>313</v>
      </c>
      <c r="AX33" s="27" t="s">
        <v>313</v>
      </c>
      <c r="AY33" s="27" t="s">
        <v>91</v>
      </c>
      <c r="AZ33" s="27" t="s">
        <v>84</v>
      </c>
      <c r="BA33" s="27" t="s">
        <v>376</v>
      </c>
      <c r="BB33" s="27" t="s">
        <v>290</v>
      </c>
      <c r="BC33" s="27" t="s">
        <v>316</v>
      </c>
      <c r="BD33" s="27" t="s">
        <v>117</v>
      </c>
      <c r="BE33" s="27" t="s">
        <v>93</v>
      </c>
      <c r="BF33" s="27" t="s">
        <v>313</v>
      </c>
      <c r="BG33" s="27" t="s">
        <v>313</v>
      </c>
      <c r="BH33" s="28">
        <v>41730</v>
      </c>
      <c r="BI33" s="28">
        <v>42155</v>
      </c>
      <c r="BJ33" s="27" t="s">
        <v>94</v>
      </c>
      <c r="BK33" s="27" t="s">
        <v>95</v>
      </c>
      <c r="BL33" s="27" t="s">
        <v>96</v>
      </c>
      <c r="BM33" s="27">
        <v>0</v>
      </c>
      <c r="BN33" s="27">
        <v>0</v>
      </c>
      <c r="BO33" s="27" t="s">
        <v>313</v>
      </c>
      <c r="BP33" s="27" t="s">
        <v>315</v>
      </c>
      <c r="BQ33" s="27">
        <v>0</v>
      </c>
      <c r="BR33" s="27" t="s">
        <v>97</v>
      </c>
      <c r="BS33" s="27">
        <v>0</v>
      </c>
      <c r="BT33" s="27" t="s">
        <v>97</v>
      </c>
      <c r="BU33" s="27">
        <v>1</v>
      </c>
      <c r="BV33" s="27" t="s">
        <v>377</v>
      </c>
      <c r="BW33" s="27" t="s">
        <v>378</v>
      </c>
      <c r="BX33" s="27">
        <v>64</v>
      </c>
      <c r="BY33" s="27">
        <v>0</v>
      </c>
      <c r="BZ33" s="27" t="s">
        <v>99</v>
      </c>
      <c r="CA33" s="27" t="s">
        <v>100</v>
      </c>
      <c r="CB33" s="27" t="s">
        <v>101</v>
      </c>
      <c r="CC33" s="28">
        <v>45847</v>
      </c>
      <c r="CE33" t="s">
        <v>385</v>
      </c>
    </row>
    <row r="34" spans="1:83" x14ac:dyDescent="0.3">
      <c r="A34" s="30" t="s">
        <v>294</v>
      </c>
      <c r="B34" s="30" t="s">
        <v>367</v>
      </c>
      <c r="C34" s="27" t="s">
        <v>317</v>
      </c>
      <c r="D34" s="27">
        <v>2019</v>
      </c>
      <c r="E34" s="30" t="s">
        <v>319</v>
      </c>
      <c r="F34" s="30" t="s">
        <v>320</v>
      </c>
      <c r="G34" s="27" t="s">
        <v>78</v>
      </c>
      <c r="H34" s="27">
        <v>1</v>
      </c>
      <c r="I34" s="27" t="s">
        <v>291</v>
      </c>
      <c r="J34" s="27" t="s">
        <v>79</v>
      </c>
      <c r="L34" s="27" t="s">
        <v>129</v>
      </c>
      <c r="M34" s="27" t="s">
        <v>382</v>
      </c>
      <c r="N34" s="27">
        <v>-0.13</v>
      </c>
      <c r="O34" s="27">
        <v>0.22</v>
      </c>
      <c r="P34" s="27">
        <f t="shared" si="0"/>
        <v>-0.59090909090909094</v>
      </c>
      <c r="Q34" s="27" t="s">
        <v>313</v>
      </c>
      <c r="R34" s="27" t="s">
        <v>313</v>
      </c>
      <c r="S34" s="27" t="s">
        <v>313</v>
      </c>
      <c r="T34" s="27">
        <v>5054</v>
      </c>
      <c r="U34" s="27" t="s">
        <v>313</v>
      </c>
      <c r="V34" s="27">
        <f t="shared" si="6"/>
        <v>5054</v>
      </c>
      <c r="W34" s="27">
        <f t="shared" si="7"/>
        <v>-8.3116653841548704E-3</v>
      </c>
      <c r="X34" s="27">
        <f t="shared" si="8"/>
        <v>1.4065895265492857E-2</v>
      </c>
      <c r="Y34" s="27">
        <f t="shared" si="9"/>
        <v>-8.3116653841548704E-3</v>
      </c>
      <c r="Z34" s="27" t="s">
        <v>81</v>
      </c>
      <c r="AA34" s="32">
        <f t="shared" si="10"/>
        <v>-1.28778E-2</v>
      </c>
      <c r="AB34" s="32">
        <f t="shared" si="11"/>
        <v>2.1793200000000002E-2</v>
      </c>
      <c r="AC34" s="32">
        <f t="shared" si="5"/>
        <v>-1.28778E-2</v>
      </c>
      <c r="AD34" s="27" t="s">
        <v>82</v>
      </c>
      <c r="AE34" s="27" t="s">
        <v>297</v>
      </c>
      <c r="AF34" s="27">
        <v>99.06</v>
      </c>
      <c r="AG34" s="27">
        <v>49.79</v>
      </c>
      <c r="AH34" s="27">
        <v>23.55</v>
      </c>
      <c r="AI34" s="27">
        <v>342.58</v>
      </c>
      <c r="AJ34" s="27" t="s">
        <v>83</v>
      </c>
      <c r="AK34" s="27" t="s">
        <v>133</v>
      </c>
      <c r="AL34" s="27" t="s">
        <v>85</v>
      </c>
      <c r="AM34" s="27" t="s">
        <v>110</v>
      </c>
      <c r="AN34" s="27">
        <v>0</v>
      </c>
      <c r="AO34" s="27">
        <v>25</v>
      </c>
      <c r="AP34" s="27" t="s">
        <v>87</v>
      </c>
      <c r="AQ34" s="27" t="s">
        <v>88</v>
      </c>
      <c r="AR34" s="27" t="s">
        <v>89</v>
      </c>
      <c r="AS34" s="27" t="s">
        <v>114</v>
      </c>
      <c r="AT34" s="27" t="s">
        <v>293</v>
      </c>
      <c r="AU34" s="27">
        <v>119.6</v>
      </c>
      <c r="AV34" s="27" t="s">
        <v>313</v>
      </c>
      <c r="AW34" s="27" t="s">
        <v>313</v>
      </c>
      <c r="AX34" s="27" t="s">
        <v>313</v>
      </c>
      <c r="AY34" s="27" t="s">
        <v>91</v>
      </c>
      <c r="AZ34" s="27" t="s">
        <v>84</v>
      </c>
      <c r="BA34" s="27" t="s">
        <v>376</v>
      </c>
      <c r="BB34" s="27" t="s">
        <v>290</v>
      </c>
      <c r="BC34" s="27" t="s">
        <v>316</v>
      </c>
      <c r="BD34" s="27" t="s">
        <v>117</v>
      </c>
      <c r="BE34" s="27" t="s">
        <v>93</v>
      </c>
      <c r="BF34" s="27" t="s">
        <v>313</v>
      </c>
      <c r="BG34" s="27" t="s">
        <v>313</v>
      </c>
      <c r="BH34" s="28">
        <v>41730</v>
      </c>
      <c r="BI34" s="28">
        <v>42155</v>
      </c>
      <c r="BJ34" s="27" t="s">
        <v>94</v>
      </c>
      <c r="BK34" s="27" t="s">
        <v>95</v>
      </c>
      <c r="BL34" s="27" t="s">
        <v>96</v>
      </c>
      <c r="BM34" s="27">
        <v>0</v>
      </c>
      <c r="BN34" s="27">
        <v>0</v>
      </c>
      <c r="BO34" s="27" t="s">
        <v>313</v>
      </c>
      <c r="BP34" s="27" t="s">
        <v>315</v>
      </c>
      <c r="BQ34" s="27">
        <v>0</v>
      </c>
      <c r="BR34" s="27" t="s">
        <v>97</v>
      </c>
      <c r="BS34" s="27">
        <v>0</v>
      </c>
      <c r="BT34" s="27" t="s">
        <v>97</v>
      </c>
      <c r="BU34" s="27">
        <v>1</v>
      </c>
      <c r="BV34" s="27" t="s">
        <v>377</v>
      </c>
      <c r="BW34" s="27" t="s">
        <v>378</v>
      </c>
      <c r="BX34" s="27">
        <v>64</v>
      </c>
      <c r="BY34" s="27">
        <v>0</v>
      </c>
      <c r="BZ34" s="27" t="s">
        <v>99</v>
      </c>
      <c r="CA34" s="27" t="s">
        <v>100</v>
      </c>
      <c r="CB34" s="27" t="s">
        <v>101</v>
      </c>
      <c r="CC34" s="28">
        <v>45847</v>
      </c>
      <c r="CE34" t="s">
        <v>385</v>
      </c>
    </row>
    <row r="35" spans="1:83" x14ac:dyDescent="0.3">
      <c r="A35" s="30" t="s">
        <v>294</v>
      </c>
      <c r="B35" s="30" t="s">
        <v>368</v>
      </c>
      <c r="C35" s="27" t="s">
        <v>317</v>
      </c>
      <c r="D35" s="27">
        <v>2019</v>
      </c>
      <c r="E35" s="30" t="s">
        <v>319</v>
      </c>
      <c r="F35" s="30" t="s">
        <v>320</v>
      </c>
      <c r="G35" s="27" t="s">
        <v>78</v>
      </c>
      <c r="H35" s="27">
        <v>1</v>
      </c>
      <c r="I35" s="27" t="s">
        <v>291</v>
      </c>
      <c r="J35" s="27" t="s">
        <v>79</v>
      </c>
      <c r="L35" s="27" t="s">
        <v>129</v>
      </c>
      <c r="M35" s="27" t="s">
        <v>382</v>
      </c>
      <c r="N35" s="27">
        <v>-0.37</v>
      </c>
      <c r="O35" s="27">
        <v>0.26</v>
      </c>
      <c r="P35" s="27">
        <f t="shared" si="0"/>
        <v>-1.4230769230769229</v>
      </c>
      <c r="Q35" s="27" t="s">
        <v>313</v>
      </c>
      <c r="R35" s="27" t="s">
        <v>313</v>
      </c>
      <c r="S35" s="27" t="s">
        <v>313</v>
      </c>
      <c r="T35" s="27">
        <v>5054</v>
      </c>
      <c r="U35" s="27" t="s">
        <v>313</v>
      </c>
      <c r="V35" s="27">
        <f t="shared" si="6"/>
        <v>5054</v>
      </c>
      <c r="W35" s="27">
        <f t="shared" si="7"/>
        <v>-2.001353308063333E-2</v>
      </c>
      <c r="X35" s="27">
        <f t="shared" si="8"/>
        <v>1.406356378639099E-2</v>
      </c>
      <c r="Y35" s="27">
        <f t="shared" si="9"/>
        <v>-2.001353308063333E-2</v>
      </c>
      <c r="Z35" s="27" t="s">
        <v>81</v>
      </c>
      <c r="AA35" s="32">
        <f t="shared" si="10"/>
        <v>-3.6652200000000003E-2</v>
      </c>
      <c r="AB35" s="32">
        <f t="shared" si="11"/>
        <v>2.57556E-2</v>
      </c>
      <c r="AC35" s="32">
        <f t="shared" si="5"/>
        <v>-3.6652200000000003E-2</v>
      </c>
      <c r="AD35" s="27" t="s">
        <v>82</v>
      </c>
      <c r="AE35" s="27" t="s">
        <v>297</v>
      </c>
      <c r="AF35" s="27">
        <v>99.06</v>
      </c>
      <c r="AG35" s="27">
        <v>49.79</v>
      </c>
      <c r="AH35" s="27">
        <v>23.55</v>
      </c>
      <c r="AI35" s="27">
        <v>342.58</v>
      </c>
      <c r="AJ35" s="27" t="s">
        <v>83</v>
      </c>
      <c r="AK35" s="27" t="s">
        <v>133</v>
      </c>
      <c r="AL35" s="27" t="s">
        <v>85</v>
      </c>
      <c r="AM35" s="27" t="s">
        <v>110</v>
      </c>
      <c r="AN35" s="27">
        <v>0</v>
      </c>
      <c r="AO35" s="27">
        <v>30</v>
      </c>
      <c r="AP35" s="27" t="s">
        <v>87</v>
      </c>
      <c r="AQ35" s="27" t="s">
        <v>88</v>
      </c>
      <c r="AR35" s="27" t="s">
        <v>89</v>
      </c>
      <c r="AS35" s="27" t="s">
        <v>114</v>
      </c>
      <c r="AT35" s="27" t="s">
        <v>293</v>
      </c>
      <c r="AU35" s="27">
        <v>119.6</v>
      </c>
      <c r="AV35" s="27" t="s">
        <v>313</v>
      </c>
      <c r="AW35" s="27" t="s">
        <v>313</v>
      </c>
      <c r="AX35" s="27" t="s">
        <v>313</v>
      </c>
      <c r="AY35" s="27" t="s">
        <v>91</v>
      </c>
      <c r="AZ35" s="27" t="s">
        <v>84</v>
      </c>
      <c r="BA35" s="27" t="s">
        <v>376</v>
      </c>
      <c r="BB35" s="27" t="s">
        <v>290</v>
      </c>
      <c r="BC35" s="27" t="s">
        <v>316</v>
      </c>
      <c r="BD35" s="27" t="s">
        <v>117</v>
      </c>
      <c r="BE35" s="27" t="s">
        <v>93</v>
      </c>
      <c r="BF35" s="27" t="s">
        <v>313</v>
      </c>
      <c r="BG35" s="27" t="s">
        <v>313</v>
      </c>
      <c r="BH35" s="28">
        <v>41730</v>
      </c>
      <c r="BI35" s="28">
        <v>42155</v>
      </c>
      <c r="BJ35" s="27" t="s">
        <v>94</v>
      </c>
      <c r="BK35" s="27" t="s">
        <v>95</v>
      </c>
      <c r="BL35" s="27" t="s">
        <v>96</v>
      </c>
      <c r="BM35" s="27">
        <v>0</v>
      </c>
      <c r="BN35" s="27">
        <v>0</v>
      </c>
      <c r="BO35" s="27" t="s">
        <v>313</v>
      </c>
      <c r="BP35" s="27" t="s">
        <v>315</v>
      </c>
      <c r="BQ35" s="27">
        <v>0</v>
      </c>
      <c r="BR35" s="27" t="s">
        <v>97</v>
      </c>
      <c r="BS35" s="27">
        <v>0</v>
      </c>
      <c r="BT35" s="27" t="s">
        <v>97</v>
      </c>
      <c r="BU35" s="27">
        <v>1</v>
      </c>
      <c r="BV35" s="27" t="s">
        <v>377</v>
      </c>
      <c r="BW35" s="27" t="s">
        <v>378</v>
      </c>
      <c r="BX35" s="27">
        <v>64</v>
      </c>
      <c r="BY35" s="27">
        <v>0</v>
      </c>
      <c r="BZ35" s="27" t="s">
        <v>99</v>
      </c>
      <c r="CA35" s="27" t="s">
        <v>100</v>
      </c>
      <c r="CB35" s="27" t="s">
        <v>101</v>
      </c>
      <c r="CC35" s="28">
        <v>45847</v>
      </c>
      <c r="CE35" t="s">
        <v>385</v>
      </c>
    </row>
    <row r="36" spans="1:83" x14ac:dyDescent="0.3">
      <c r="A36" s="30" t="s">
        <v>294</v>
      </c>
      <c r="B36" s="30" t="s">
        <v>369</v>
      </c>
      <c r="C36" s="27" t="s">
        <v>317</v>
      </c>
      <c r="D36" s="27">
        <v>2019</v>
      </c>
      <c r="E36" s="30" t="s">
        <v>319</v>
      </c>
      <c r="F36" s="30" t="s">
        <v>320</v>
      </c>
      <c r="G36" s="27" t="s">
        <v>78</v>
      </c>
      <c r="H36" s="27">
        <v>1</v>
      </c>
      <c r="I36" s="27" t="s">
        <v>291</v>
      </c>
      <c r="J36" s="27" t="s">
        <v>79</v>
      </c>
      <c r="L36" s="27" t="s">
        <v>129</v>
      </c>
      <c r="M36" s="27" t="s">
        <v>382</v>
      </c>
      <c r="N36" s="27">
        <v>0.12</v>
      </c>
      <c r="O36" s="27">
        <v>0.24</v>
      </c>
      <c r="P36" s="27">
        <f t="shared" si="0"/>
        <v>0.5</v>
      </c>
      <c r="Q36" s="27" t="s">
        <v>313</v>
      </c>
      <c r="R36" s="27" t="s">
        <v>313</v>
      </c>
      <c r="S36" s="27" t="s">
        <v>313</v>
      </c>
      <c r="T36" s="27">
        <v>5054</v>
      </c>
      <c r="U36" s="27" t="s">
        <v>313</v>
      </c>
      <c r="V36" s="27">
        <f t="shared" si="6"/>
        <v>5054</v>
      </c>
      <c r="W36" s="27">
        <f t="shared" si="7"/>
        <v>7.0330166320033338E-3</v>
      </c>
      <c r="X36" s="27">
        <f t="shared" si="8"/>
        <v>1.4066033264006668E-2</v>
      </c>
      <c r="Y36" s="27">
        <f t="shared" si="9"/>
        <v>7.0330166320033338E-3</v>
      </c>
      <c r="Z36" s="27" t="s">
        <v>81</v>
      </c>
      <c r="AA36" s="32">
        <f t="shared" si="10"/>
        <v>7.3163999999999989E-3</v>
      </c>
      <c r="AB36" s="32">
        <f t="shared" si="11"/>
        <v>1.4632799999999998E-2</v>
      </c>
      <c r="AC36" s="32">
        <f t="shared" si="5"/>
        <v>7.3163999999999989E-3</v>
      </c>
      <c r="AD36" s="27" t="s">
        <v>159</v>
      </c>
      <c r="AE36" s="27" t="s">
        <v>297</v>
      </c>
      <c r="AF36" s="27">
        <v>60.97</v>
      </c>
      <c r="AG36" s="27">
        <v>40.840000000000003</v>
      </c>
      <c r="AH36" s="27">
        <v>8.33</v>
      </c>
      <c r="AI36" s="27">
        <v>293.10000000000002</v>
      </c>
      <c r="AJ36" s="27" t="s">
        <v>83</v>
      </c>
      <c r="AK36" s="27" t="s">
        <v>133</v>
      </c>
      <c r="AL36" s="27" t="s">
        <v>85</v>
      </c>
      <c r="AM36" s="27" t="s">
        <v>110</v>
      </c>
      <c r="AN36" s="27">
        <v>0</v>
      </c>
      <c r="AO36" s="27">
        <v>5</v>
      </c>
      <c r="AP36" s="27" t="s">
        <v>87</v>
      </c>
      <c r="AQ36" s="27" t="s">
        <v>88</v>
      </c>
      <c r="AR36" s="27" t="s">
        <v>89</v>
      </c>
      <c r="AS36" s="27" t="s">
        <v>114</v>
      </c>
      <c r="AT36" s="27" t="s">
        <v>293</v>
      </c>
      <c r="AU36" s="27">
        <v>119.6</v>
      </c>
      <c r="AV36" s="27" t="s">
        <v>313</v>
      </c>
      <c r="AW36" s="27" t="s">
        <v>313</v>
      </c>
      <c r="AX36" s="27" t="s">
        <v>313</v>
      </c>
      <c r="AY36" s="27" t="s">
        <v>91</v>
      </c>
      <c r="AZ36" s="27" t="s">
        <v>84</v>
      </c>
      <c r="BA36" s="27" t="s">
        <v>376</v>
      </c>
      <c r="BB36" s="27" t="s">
        <v>290</v>
      </c>
      <c r="BC36" s="27" t="s">
        <v>316</v>
      </c>
      <c r="BD36" s="27" t="s">
        <v>117</v>
      </c>
      <c r="BE36" s="27" t="s">
        <v>93</v>
      </c>
      <c r="BF36" s="27" t="s">
        <v>313</v>
      </c>
      <c r="BG36" s="27" t="s">
        <v>313</v>
      </c>
      <c r="BH36" s="28">
        <v>41730</v>
      </c>
      <c r="BI36" s="28">
        <v>42155</v>
      </c>
      <c r="BJ36" s="27" t="s">
        <v>94</v>
      </c>
      <c r="BK36" s="27" t="s">
        <v>95</v>
      </c>
      <c r="BL36" s="27" t="s">
        <v>96</v>
      </c>
      <c r="BM36" s="27">
        <v>0</v>
      </c>
      <c r="BN36" s="27">
        <v>0</v>
      </c>
      <c r="BO36" s="27" t="s">
        <v>313</v>
      </c>
      <c r="BP36" s="27" t="s">
        <v>315</v>
      </c>
      <c r="BQ36" s="27">
        <v>0</v>
      </c>
      <c r="BR36" s="27" t="s">
        <v>97</v>
      </c>
      <c r="BS36" s="27">
        <v>0</v>
      </c>
      <c r="BT36" s="27" t="s">
        <v>97</v>
      </c>
      <c r="BU36" s="27">
        <v>1</v>
      </c>
      <c r="BV36" s="27" t="s">
        <v>377</v>
      </c>
      <c r="BW36" s="27" t="s">
        <v>378</v>
      </c>
      <c r="BX36" s="27">
        <v>64</v>
      </c>
      <c r="BY36" s="27">
        <v>0</v>
      </c>
      <c r="BZ36" s="27" t="s">
        <v>99</v>
      </c>
      <c r="CA36" s="27" t="s">
        <v>100</v>
      </c>
      <c r="CB36" s="27" t="s">
        <v>101</v>
      </c>
      <c r="CC36" s="28">
        <v>45847</v>
      </c>
      <c r="CE36" t="s">
        <v>385</v>
      </c>
    </row>
    <row r="37" spans="1:83" x14ac:dyDescent="0.3">
      <c r="A37" s="30" t="s">
        <v>294</v>
      </c>
      <c r="B37" s="30" t="s">
        <v>370</v>
      </c>
      <c r="C37" s="27" t="s">
        <v>317</v>
      </c>
      <c r="D37" s="27">
        <v>2019</v>
      </c>
      <c r="E37" s="30" t="s">
        <v>319</v>
      </c>
      <c r="F37" s="30" t="s">
        <v>320</v>
      </c>
      <c r="G37" s="27" t="s">
        <v>78</v>
      </c>
      <c r="H37" s="27">
        <v>1</v>
      </c>
      <c r="I37" s="27" t="s">
        <v>291</v>
      </c>
      <c r="J37" s="27" t="s">
        <v>79</v>
      </c>
      <c r="L37" s="27" t="s">
        <v>129</v>
      </c>
      <c r="M37" s="27" t="s">
        <v>382</v>
      </c>
      <c r="N37" s="27">
        <v>0.19</v>
      </c>
      <c r="O37" s="27">
        <v>0.32</v>
      </c>
      <c r="P37" s="27">
        <f t="shared" si="0"/>
        <v>0.59375</v>
      </c>
      <c r="Q37" s="27" t="s">
        <v>313</v>
      </c>
      <c r="R37" s="27" t="s">
        <v>313</v>
      </c>
      <c r="S37" s="27" t="s">
        <v>313</v>
      </c>
      <c r="T37" s="27">
        <v>5054</v>
      </c>
      <c r="U37" s="27" t="s">
        <v>313</v>
      </c>
      <c r="V37" s="27">
        <f t="shared" si="6"/>
        <v>5054</v>
      </c>
      <c r="W37" s="27">
        <f t="shared" si="7"/>
        <v>8.3516225333647651E-3</v>
      </c>
      <c r="X37" s="27">
        <f t="shared" si="8"/>
        <v>1.4065890582509078E-2</v>
      </c>
      <c r="Y37" s="27">
        <f t="shared" si="9"/>
        <v>8.3516225333647651E-3</v>
      </c>
      <c r="Z37" s="27" t="s">
        <v>81</v>
      </c>
      <c r="AA37" s="32">
        <f t="shared" si="10"/>
        <v>1.1584299999999999E-2</v>
      </c>
      <c r="AB37" s="32">
        <f t="shared" si="11"/>
        <v>1.9510400000000001E-2</v>
      </c>
      <c r="AC37" s="32">
        <f t="shared" si="5"/>
        <v>1.1584299999999999E-2</v>
      </c>
      <c r="AD37" s="27" t="s">
        <v>159</v>
      </c>
      <c r="AE37" s="27" t="s">
        <v>297</v>
      </c>
      <c r="AF37" s="27">
        <v>60.97</v>
      </c>
      <c r="AG37" s="27">
        <v>40.840000000000003</v>
      </c>
      <c r="AH37" s="27">
        <v>8.33</v>
      </c>
      <c r="AI37" s="27">
        <v>293.10000000000002</v>
      </c>
      <c r="AJ37" s="27" t="s">
        <v>83</v>
      </c>
      <c r="AK37" s="27" t="s">
        <v>133</v>
      </c>
      <c r="AL37" s="27" t="s">
        <v>85</v>
      </c>
      <c r="AM37" s="27" t="s">
        <v>110</v>
      </c>
      <c r="AN37" s="27">
        <v>0</v>
      </c>
      <c r="AO37" s="27">
        <v>10</v>
      </c>
      <c r="AP37" s="27" t="s">
        <v>87</v>
      </c>
      <c r="AQ37" s="27" t="s">
        <v>88</v>
      </c>
      <c r="AR37" s="27" t="s">
        <v>89</v>
      </c>
      <c r="AS37" s="27" t="s">
        <v>114</v>
      </c>
      <c r="AT37" s="27" t="s">
        <v>293</v>
      </c>
      <c r="AU37" s="27">
        <v>119.6</v>
      </c>
      <c r="AV37" s="27" t="s">
        <v>313</v>
      </c>
      <c r="AW37" s="27" t="s">
        <v>313</v>
      </c>
      <c r="AX37" s="27" t="s">
        <v>313</v>
      </c>
      <c r="AY37" s="27" t="s">
        <v>91</v>
      </c>
      <c r="AZ37" s="27" t="s">
        <v>84</v>
      </c>
      <c r="BA37" s="27" t="s">
        <v>376</v>
      </c>
      <c r="BB37" s="27" t="s">
        <v>290</v>
      </c>
      <c r="BC37" s="27" t="s">
        <v>316</v>
      </c>
      <c r="BD37" s="27" t="s">
        <v>117</v>
      </c>
      <c r="BE37" s="27" t="s">
        <v>93</v>
      </c>
      <c r="BF37" s="27" t="s">
        <v>313</v>
      </c>
      <c r="BG37" s="27" t="s">
        <v>313</v>
      </c>
      <c r="BH37" s="28">
        <v>41730</v>
      </c>
      <c r="BI37" s="28">
        <v>42155</v>
      </c>
      <c r="BJ37" s="27" t="s">
        <v>94</v>
      </c>
      <c r="BK37" s="27" t="s">
        <v>95</v>
      </c>
      <c r="BL37" s="27" t="s">
        <v>96</v>
      </c>
      <c r="BM37" s="27">
        <v>0</v>
      </c>
      <c r="BN37" s="27">
        <v>0</v>
      </c>
      <c r="BO37" s="27" t="s">
        <v>313</v>
      </c>
      <c r="BP37" s="27" t="s">
        <v>315</v>
      </c>
      <c r="BQ37" s="27">
        <v>0</v>
      </c>
      <c r="BR37" s="27" t="s">
        <v>97</v>
      </c>
      <c r="BS37" s="27">
        <v>0</v>
      </c>
      <c r="BT37" s="27" t="s">
        <v>97</v>
      </c>
      <c r="BU37" s="27">
        <v>1</v>
      </c>
      <c r="BV37" s="27" t="s">
        <v>377</v>
      </c>
      <c r="BW37" s="27" t="s">
        <v>378</v>
      </c>
      <c r="BX37" s="27">
        <v>64</v>
      </c>
      <c r="BY37" s="27">
        <v>0</v>
      </c>
      <c r="BZ37" s="27" t="s">
        <v>99</v>
      </c>
      <c r="CA37" s="27" t="s">
        <v>100</v>
      </c>
      <c r="CB37" s="27" t="s">
        <v>101</v>
      </c>
      <c r="CC37" s="28">
        <v>45847</v>
      </c>
      <c r="CE37" t="s">
        <v>385</v>
      </c>
    </row>
    <row r="38" spans="1:83" x14ac:dyDescent="0.3">
      <c r="A38" s="30" t="s">
        <v>294</v>
      </c>
      <c r="B38" s="30" t="s">
        <v>371</v>
      </c>
      <c r="C38" s="27" t="s">
        <v>317</v>
      </c>
      <c r="D38" s="27">
        <v>2019</v>
      </c>
      <c r="E38" s="30" t="s">
        <v>319</v>
      </c>
      <c r="F38" s="30" t="s">
        <v>320</v>
      </c>
      <c r="G38" s="27" t="s">
        <v>78</v>
      </c>
      <c r="H38" s="27">
        <v>1</v>
      </c>
      <c r="I38" s="27" t="s">
        <v>291</v>
      </c>
      <c r="J38" s="27" t="s">
        <v>79</v>
      </c>
      <c r="L38" s="27" t="s">
        <v>129</v>
      </c>
      <c r="M38" s="27" t="s">
        <v>382</v>
      </c>
      <c r="N38" s="27">
        <v>0.08</v>
      </c>
      <c r="O38" s="27">
        <v>0.41</v>
      </c>
      <c r="P38" s="27">
        <f t="shared" si="0"/>
        <v>0.1951219512195122</v>
      </c>
      <c r="Q38" s="27" t="s">
        <v>313</v>
      </c>
      <c r="R38" s="27" t="s">
        <v>313</v>
      </c>
      <c r="S38" s="27" t="s">
        <v>313</v>
      </c>
      <c r="T38" s="27">
        <v>5054</v>
      </c>
      <c r="U38" s="27" t="s">
        <v>313</v>
      </c>
      <c r="V38" s="27">
        <f t="shared" si="6"/>
        <v>5054</v>
      </c>
      <c r="W38" s="27">
        <f t="shared" si="7"/>
        <v>2.7446493993083894E-3</v>
      </c>
      <c r="X38" s="27">
        <f t="shared" si="8"/>
        <v>1.4066328171455495E-2</v>
      </c>
      <c r="Y38" s="27">
        <f t="shared" si="9"/>
        <v>2.7446493993083894E-3</v>
      </c>
      <c r="Z38" s="27" t="s">
        <v>81</v>
      </c>
      <c r="AA38" s="32">
        <f t="shared" si="10"/>
        <v>4.8776000000000002E-3</v>
      </c>
      <c r="AB38" s="32">
        <f t="shared" si="11"/>
        <v>2.4997699999999994E-2</v>
      </c>
      <c r="AC38" s="32">
        <f t="shared" si="5"/>
        <v>4.8776000000000002E-3</v>
      </c>
      <c r="AD38" s="27" t="s">
        <v>159</v>
      </c>
      <c r="AE38" s="27" t="s">
        <v>297</v>
      </c>
      <c r="AF38" s="27">
        <v>60.97</v>
      </c>
      <c r="AG38" s="27">
        <v>40.840000000000003</v>
      </c>
      <c r="AH38" s="27">
        <v>8.33</v>
      </c>
      <c r="AI38" s="27">
        <v>293.10000000000002</v>
      </c>
      <c r="AJ38" s="27" t="s">
        <v>83</v>
      </c>
      <c r="AK38" s="27" t="s">
        <v>133</v>
      </c>
      <c r="AL38" s="27" t="s">
        <v>85</v>
      </c>
      <c r="AM38" s="27" t="s">
        <v>110</v>
      </c>
      <c r="AN38" s="27">
        <v>0</v>
      </c>
      <c r="AO38" s="27">
        <v>15</v>
      </c>
      <c r="AP38" s="27" t="s">
        <v>87</v>
      </c>
      <c r="AQ38" s="27" t="s">
        <v>88</v>
      </c>
      <c r="AR38" s="27" t="s">
        <v>89</v>
      </c>
      <c r="AS38" s="27" t="s">
        <v>114</v>
      </c>
      <c r="AT38" s="27" t="s">
        <v>293</v>
      </c>
      <c r="AU38" s="27">
        <v>119.6</v>
      </c>
      <c r="AV38" s="27" t="s">
        <v>313</v>
      </c>
      <c r="AW38" s="27" t="s">
        <v>313</v>
      </c>
      <c r="AX38" s="27" t="s">
        <v>313</v>
      </c>
      <c r="AY38" s="27" t="s">
        <v>91</v>
      </c>
      <c r="AZ38" s="27" t="s">
        <v>84</v>
      </c>
      <c r="BA38" s="27" t="s">
        <v>376</v>
      </c>
      <c r="BB38" s="27" t="s">
        <v>290</v>
      </c>
      <c r="BC38" s="27" t="s">
        <v>316</v>
      </c>
      <c r="BD38" s="27" t="s">
        <v>117</v>
      </c>
      <c r="BE38" s="27" t="s">
        <v>93</v>
      </c>
      <c r="BF38" s="27" t="s">
        <v>313</v>
      </c>
      <c r="BG38" s="27" t="s">
        <v>313</v>
      </c>
      <c r="BH38" s="28">
        <v>41730</v>
      </c>
      <c r="BI38" s="28">
        <v>42155</v>
      </c>
      <c r="BJ38" s="27" t="s">
        <v>94</v>
      </c>
      <c r="BK38" s="27" t="s">
        <v>95</v>
      </c>
      <c r="BL38" s="27" t="s">
        <v>96</v>
      </c>
      <c r="BM38" s="27">
        <v>0</v>
      </c>
      <c r="BN38" s="27">
        <v>0</v>
      </c>
      <c r="BO38" s="27" t="s">
        <v>313</v>
      </c>
      <c r="BP38" s="27" t="s">
        <v>315</v>
      </c>
      <c r="BQ38" s="27">
        <v>0</v>
      </c>
      <c r="BR38" s="27" t="s">
        <v>97</v>
      </c>
      <c r="BS38" s="27">
        <v>0</v>
      </c>
      <c r="BT38" s="27" t="s">
        <v>97</v>
      </c>
      <c r="BU38" s="27">
        <v>1</v>
      </c>
      <c r="BV38" s="27" t="s">
        <v>377</v>
      </c>
      <c r="BW38" s="27" t="s">
        <v>378</v>
      </c>
      <c r="BX38" s="27">
        <v>64</v>
      </c>
      <c r="BY38" s="27">
        <v>0</v>
      </c>
      <c r="BZ38" s="27" t="s">
        <v>99</v>
      </c>
      <c r="CA38" s="27" t="s">
        <v>100</v>
      </c>
      <c r="CB38" s="27" t="s">
        <v>101</v>
      </c>
      <c r="CC38" s="28">
        <v>45847</v>
      </c>
      <c r="CE38" t="s">
        <v>385</v>
      </c>
    </row>
    <row r="39" spans="1:83" x14ac:dyDescent="0.3">
      <c r="A39" s="30" t="s">
        <v>294</v>
      </c>
      <c r="B39" s="30" t="s">
        <v>372</v>
      </c>
      <c r="C39" s="27" t="s">
        <v>317</v>
      </c>
      <c r="D39" s="27">
        <v>2019</v>
      </c>
      <c r="E39" s="30" t="s">
        <v>319</v>
      </c>
      <c r="F39" s="30" t="s">
        <v>320</v>
      </c>
      <c r="G39" s="27" t="s">
        <v>78</v>
      </c>
      <c r="H39" s="27">
        <v>1</v>
      </c>
      <c r="I39" s="27" t="s">
        <v>291</v>
      </c>
      <c r="J39" s="27" t="s">
        <v>79</v>
      </c>
      <c r="L39" s="27" t="s">
        <v>129</v>
      </c>
      <c r="M39" s="27" t="s">
        <v>382</v>
      </c>
      <c r="N39" s="27">
        <v>-0.23</v>
      </c>
      <c r="O39" s="27">
        <v>0.54</v>
      </c>
      <c r="P39" s="27">
        <f t="shared" si="0"/>
        <v>-0.42592592592592593</v>
      </c>
      <c r="Q39" s="27" t="s">
        <v>313</v>
      </c>
      <c r="R39" s="27" t="s">
        <v>313</v>
      </c>
      <c r="S39" s="27" t="s">
        <v>313</v>
      </c>
      <c r="T39" s="27">
        <v>5054</v>
      </c>
      <c r="U39" s="27" t="s">
        <v>313</v>
      </c>
      <c r="V39" s="27">
        <f t="shared" si="6"/>
        <v>5054</v>
      </c>
      <c r="W39" s="27">
        <f t="shared" si="7"/>
        <v>-5.9911288925774053E-3</v>
      </c>
      <c r="X39" s="27">
        <f t="shared" si="8"/>
        <v>1.4066128704312168E-2</v>
      </c>
      <c r="Y39" s="27">
        <f t="shared" si="9"/>
        <v>-5.9911288925774053E-3</v>
      </c>
      <c r="Z39" s="27" t="s">
        <v>81</v>
      </c>
      <c r="AA39" s="32">
        <f t="shared" si="10"/>
        <v>-1.4023099999999998E-2</v>
      </c>
      <c r="AB39" s="32">
        <f t="shared" si="11"/>
        <v>3.2923799999999996E-2</v>
      </c>
      <c r="AC39" s="32">
        <f t="shared" si="5"/>
        <v>-1.4023099999999998E-2</v>
      </c>
      <c r="AD39" s="27" t="s">
        <v>159</v>
      </c>
      <c r="AE39" s="27" t="s">
        <v>297</v>
      </c>
      <c r="AF39" s="27">
        <v>60.97</v>
      </c>
      <c r="AG39" s="27">
        <v>40.840000000000003</v>
      </c>
      <c r="AH39" s="27">
        <v>8.33</v>
      </c>
      <c r="AI39" s="27">
        <v>293.10000000000002</v>
      </c>
      <c r="AJ39" s="27" t="s">
        <v>83</v>
      </c>
      <c r="AK39" s="27" t="s">
        <v>133</v>
      </c>
      <c r="AL39" s="27" t="s">
        <v>85</v>
      </c>
      <c r="AM39" s="27" t="s">
        <v>110</v>
      </c>
      <c r="AN39" s="27">
        <v>0</v>
      </c>
      <c r="AO39" s="27">
        <v>20</v>
      </c>
      <c r="AP39" s="27" t="s">
        <v>87</v>
      </c>
      <c r="AQ39" s="27" t="s">
        <v>88</v>
      </c>
      <c r="AR39" s="27" t="s">
        <v>89</v>
      </c>
      <c r="AS39" s="27" t="s">
        <v>114</v>
      </c>
      <c r="AT39" s="27" t="s">
        <v>293</v>
      </c>
      <c r="AU39" s="27">
        <v>119.6</v>
      </c>
      <c r="AV39" s="27" t="s">
        <v>313</v>
      </c>
      <c r="AW39" s="27" t="s">
        <v>313</v>
      </c>
      <c r="AX39" s="27" t="s">
        <v>313</v>
      </c>
      <c r="AY39" s="27" t="s">
        <v>91</v>
      </c>
      <c r="AZ39" s="27" t="s">
        <v>84</v>
      </c>
      <c r="BA39" s="27" t="s">
        <v>376</v>
      </c>
      <c r="BB39" s="27" t="s">
        <v>290</v>
      </c>
      <c r="BC39" s="27" t="s">
        <v>316</v>
      </c>
      <c r="BD39" s="27" t="s">
        <v>117</v>
      </c>
      <c r="BE39" s="27" t="s">
        <v>93</v>
      </c>
      <c r="BF39" s="27" t="s">
        <v>313</v>
      </c>
      <c r="BG39" s="27" t="s">
        <v>313</v>
      </c>
      <c r="BH39" s="28">
        <v>41730</v>
      </c>
      <c r="BI39" s="28">
        <v>42155</v>
      </c>
      <c r="BJ39" s="27" t="s">
        <v>94</v>
      </c>
      <c r="BK39" s="27" t="s">
        <v>95</v>
      </c>
      <c r="BL39" s="27" t="s">
        <v>96</v>
      </c>
      <c r="BM39" s="27">
        <v>0</v>
      </c>
      <c r="BN39" s="27">
        <v>0</v>
      </c>
      <c r="BO39" s="27" t="s">
        <v>313</v>
      </c>
      <c r="BP39" s="27" t="s">
        <v>315</v>
      </c>
      <c r="BQ39" s="27">
        <v>0</v>
      </c>
      <c r="BR39" s="27" t="s">
        <v>97</v>
      </c>
      <c r="BS39" s="27">
        <v>0</v>
      </c>
      <c r="BT39" s="27" t="s">
        <v>97</v>
      </c>
      <c r="BU39" s="27">
        <v>1</v>
      </c>
      <c r="BV39" s="27" t="s">
        <v>377</v>
      </c>
      <c r="BW39" s="27" t="s">
        <v>378</v>
      </c>
      <c r="BX39" s="27">
        <v>64</v>
      </c>
      <c r="BY39" s="27">
        <v>0</v>
      </c>
      <c r="BZ39" s="27" t="s">
        <v>99</v>
      </c>
      <c r="CA39" s="27" t="s">
        <v>100</v>
      </c>
      <c r="CB39" s="27" t="s">
        <v>101</v>
      </c>
      <c r="CC39" s="28">
        <v>45847</v>
      </c>
      <c r="CE39" t="s">
        <v>385</v>
      </c>
    </row>
    <row r="40" spans="1:83" x14ac:dyDescent="0.3">
      <c r="A40" s="30" t="s">
        <v>294</v>
      </c>
      <c r="B40" s="30" t="s">
        <v>373</v>
      </c>
      <c r="C40" s="27" t="s">
        <v>317</v>
      </c>
      <c r="D40" s="27">
        <v>2019</v>
      </c>
      <c r="E40" s="30" t="s">
        <v>319</v>
      </c>
      <c r="F40" s="30" t="s">
        <v>320</v>
      </c>
      <c r="G40" s="27" t="s">
        <v>78</v>
      </c>
      <c r="H40" s="27">
        <v>1</v>
      </c>
      <c r="I40" s="27" t="s">
        <v>291</v>
      </c>
      <c r="J40" s="27" t="s">
        <v>79</v>
      </c>
      <c r="L40" s="27" t="s">
        <v>129</v>
      </c>
      <c r="M40" s="27" t="s">
        <v>382</v>
      </c>
      <c r="N40" s="27">
        <v>-0.6</v>
      </c>
      <c r="O40" s="27">
        <v>0.55000000000000004</v>
      </c>
      <c r="P40" s="27">
        <f t="shared" si="0"/>
        <v>-1.0909090909090908</v>
      </c>
      <c r="Q40" s="27" t="s">
        <v>313</v>
      </c>
      <c r="R40" s="27" t="s">
        <v>313</v>
      </c>
      <c r="S40" s="27" t="s">
        <v>313</v>
      </c>
      <c r="T40" s="27">
        <v>5054</v>
      </c>
      <c r="U40" s="27" t="s">
        <v>313</v>
      </c>
      <c r="V40" s="27">
        <f t="shared" si="6"/>
        <v>5054</v>
      </c>
      <c r="W40" s="27">
        <f t="shared" si="7"/>
        <v>-1.5343336708689009E-2</v>
      </c>
      <c r="X40" s="27">
        <f t="shared" si="8"/>
        <v>1.406472531629826E-2</v>
      </c>
      <c r="Y40" s="27">
        <f t="shared" si="9"/>
        <v>-1.5343336708689009E-2</v>
      </c>
      <c r="Z40" s="27" t="s">
        <v>81</v>
      </c>
      <c r="AA40" s="32">
        <f t="shared" si="10"/>
        <v>-3.6581999999999996E-2</v>
      </c>
      <c r="AB40" s="32">
        <f t="shared" si="11"/>
        <v>3.3533500000000001E-2</v>
      </c>
      <c r="AC40" s="32">
        <f t="shared" si="5"/>
        <v>-3.6581999999999996E-2</v>
      </c>
      <c r="AD40" s="27" t="s">
        <v>159</v>
      </c>
      <c r="AE40" s="27" t="s">
        <v>297</v>
      </c>
      <c r="AF40" s="27">
        <v>60.97</v>
      </c>
      <c r="AG40" s="27">
        <v>40.840000000000003</v>
      </c>
      <c r="AH40" s="27">
        <v>8.33</v>
      </c>
      <c r="AI40" s="27">
        <v>293.10000000000002</v>
      </c>
      <c r="AJ40" s="27" t="s">
        <v>83</v>
      </c>
      <c r="AK40" s="27" t="s">
        <v>133</v>
      </c>
      <c r="AL40" s="27" t="s">
        <v>85</v>
      </c>
      <c r="AM40" s="27" t="s">
        <v>110</v>
      </c>
      <c r="AN40" s="27">
        <v>0</v>
      </c>
      <c r="AO40" s="27">
        <v>25</v>
      </c>
      <c r="AP40" s="27" t="s">
        <v>87</v>
      </c>
      <c r="AQ40" s="27" t="s">
        <v>88</v>
      </c>
      <c r="AR40" s="27" t="s">
        <v>89</v>
      </c>
      <c r="AS40" s="27" t="s">
        <v>114</v>
      </c>
      <c r="AT40" s="27" t="s">
        <v>293</v>
      </c>
      <c r="AU40" s="27">
        <v>119.6</v>
      </c>
      <c r="AV40" s="27" t="s">
        <v>313</v>
      </c>
      <c r="AW40" s="27" t="s">
        <v>313</v>
      </c>
      <c r="AX40" s="27" t="s">
        <v>313</v>
      </c>
      <c r="AY40" s="27" t="s">
        <v>91</v>
      </c>
      <c r="AZ40" s="27" t="s">
        <v>84</v>
      </c>
      <c r="BA40" s="27" t="s">
        <v>376</v>
      </c>
      <c r="BB40" s="27" t="s">
        <v>290</v>
      </c>
      <c r="BC40" s="27" t="s">
        <v>316</v>
      </c>
      <c r="BD40" s="27" t="s">
        <v>117</v>
      </c>
      <c r="BE40" s="27" t="s">
        <v>93</v>
      </c>
      <c r="BF40" s="27" t="s">
        <v>313</v>
      </c>
      <c r="BG40" s="27" t="s">
        <v>313</v>
      </c>
      <c r="BH40" s="28">
        <v>41730</v>
      </c>
      <c r="BI40" s="28">
        <v>42155</v>
      </c>
      <c r="BJ40" s="27" t="s">
        <v>94</v>
      </c>
      <c r="BK40" s="27" t="s">
        <v>95</v>
      </c>
      <c r="BL40" s="27" t="s">
        <v>96</v>
      </c>
      <c r="BM40" s="27">
        <v>0</v>
      </c>
      <c r="BN40" s="27">
        <v>0</v>
      </c>
      <c r="BO40" s="27" t="s">
        <v>313</v>
      </c>
      <c r="BP40" s="27" t="s">
        <v>315</v>
      </c>
      <c r="BQ40" s="27">
        <v>0</v>
      </c>
      <c r="BR40" s="27" t="s">
        <v>97</v>
      </c>
      <c r="BS40" s="27">
        <v>0</v>
      </c>
      <c r="BT40" s="27" t="s">
        <v>97</v>
      </c>
      <c r="BU40" s="27">
        <v>1</v>
      </c>
      <c r="BV40" s="27" t="s">
        <v>377</v>
      </c>
      <c r="BW40" s="27" t="s">
        <v>378</v>
      </c>
      <c r="BX40" s="27">
        <v>64</v>
      </c>
      <c r="BY40" s="27">
        <v>0</v>
      </c>
      <c r="BZ40" s="27" t="s">
        <v>99</v>
      </c>
      <c r="CA40" s="27" t="s">
        <v>100</v>
      </c>
      <c r="CB40" s="27" t="s">
        <v>101</v>
      </c>
      <c r="CC40" s="28">
        <v>45847</v>
      </c>
      <c r="CE40" t="s">
        <v>385</v>
      </c>
    </row>
    <row r="41" spans="1:83" x14ac:dyDescent="0.3">
      <c r="A41" s="30" t="s">
        <v>294</v>
      </c>
      <c r="B41" s="30" t="s">
        <v>374</v>
      </c>
      <c r="C41" s="27" t="s">
        <v>317</v>
      </c>
      <c r="D41" s="27">
        <v>2019</v>
      </c>
      <c r="E41" s="30" t="s">
        <v>319</v>
      </c>
      <c r="F41" s="30" t="s">
        <v>320</v>
      </c>
      <c r="G41" s="27" t="s">
        <v>78</v>
      </c>
      <c r="H41" s="27">
        <v>1</v>
      </c>
      <c r="I41" s="27" t="s">
        <v>291</v>
      </c>
      <c r="J41" s="27" t="s">
        <v>79</v>
      </c>
      <c r="L41" s="27" t="s">
        <v>129</v>
      </c>
      <c r="M41" s="27" t="s">
        <v>382</v>
      </c>
      <c r="N41" s="27">
        <v>-0.42</v>
      </c>
      <c r="O41" s="27">
        <v>0.6</v>
      </c>
      <c r="P41" s="27">
        <f t="shared" si="0"/>
        <v>-0.7</v>
      </c>
      <c r="Q41" s="27" t="s">
        <v>313</v>
      </c>
      <c r="R41" s="27" t="s">
        <v>313</v>
      </c>
      <c r="S41" s="27" t="s">
        <v>313</v>
      </c>
      <c r="T41" s="27">
        <v>5054</v>
      </c>
      <c r="U41" s="27" t="s">
        <v>313</v>
      </c>
      <c r="V41" s="27">
        <f t="shared" si="6"/>
        <v>5054</v>
      </c>
      <c r="W41" s="27">
        <f t="shared" si="7"/>
        <v>-9.8459895202072066E-3</v>
      </c>
      <c r="X41" s="27">
        <f t="shared" si="8"/>
        <v>1.4065699314581724E-2</v>
      </c>
      <c r="Y41" s="27">
        <f t="shared" si="9"/>
        <v>-9.8459895202072066E-3</v>
      </c>
      <c r="Z41" s="27" t="s">
        <v>81</v>
      </c>
      <c r="AA41" s="32">
        <f t="shared" si="10"/>
        <v>-2.5607399999999995E-2</v>
      </c>
      <c r="AB41" s="32">
        <f t="shared" si="11"/>
        <v>3.6581999999999996E-2</v>
      </c>
      <c r="AC41" s="32">
        <f t="shared" si="5"/>
        <v>-2.5607399999999995E-2</v>
      </c>
      <c r="AD41" s="27" t="s">
        <v>159</v>
      </c>
      <c r="AE41" s="27" t="s">
        <v>297</v>
      </c>
      <c r="AF41" s="27">
        <v>60.97</v>
      </c>
      <c r="AG41" s="27">
        <v>40.840000000000003</v>
      </c>
      <c r="AH41" s="27">
        <v>8.33</v>
      </c>
      <c r="AI41" s="27">
        <v>293.10000000000002</v>
      </c>
      <c r="AJ41" s="27" t="s">
        <v>83</v>
      </c>
      <c r="AK41" s="27" t="s">
        <v>133</v>
      </c>
      <c r="AL41" s="27" t="s">
        <v>85</v>
      </c>
      <c r="AM41" s="27" t="s">
        <v>110</v>
      </c>
      <c r="AN41" s="27">
        <v>0</v>
      </c>
      <c r="AO41" s="27">
        <v>30</v>
      </c>
      <c r="AP41" s="27" t="s">
        <v>87</v>
      </c>
      <c r="AQ41" s="27" t="s">
        <v>88</v>
      </c>
      <c r="AR41" s="27" t="s">
        <v>89</v>
      </c>
      <c r="AS41" s="27" t="s">
        <v>114</v>
      </c>
      <c r="AT41" s="27" t="s">
        <v>293</v>
      </c>
      <c r="AU41" s="27">
        <v>119.6</v>
      </c>
      <c r="AV41" s="27" t="s">
        <v>313</v>
      </c>
      <c r="AW41" s="27" t="s">
        <v>313</v>
      </c>
      <c r="AX41" s="27" t="s">
        <v>313</v>
      </c>
      <c r="AY41" s="27" t="s">
        <v>91</v>
      </c>
      <c r="AZ41" s="27" t="s">
        <v>84</v>
      </c>
      <c r="BA41" s="27" t="s">
        <v>376</v>
      </c>
      <c r="BB41" s="27" t="s">
        <v>290</v>
      </c>
      <c r="BC41" s="27" t="s">
        <v>316</v>
      </c>
      <c r="BD41" s="27" t="s">
        <v>117</v>
      </c>
      <c r="BE41" s="27" t="s">
        <v>93</v>
      </c>
      <c r="BF41" s="27" t="s">
        <v>313</v>
      </c>
      <c r="BG41" s="27" t="s">
        <v>313</v>
      </c>
      <c r="BH41" s="28">
        <v>41730</v>
      </c>
      <c r="BI41" s="28">
        <v>42155</v>
      </c>
      <c r="BJ41" s="27" t="s">
        <v>94</v>
      </c>
      <c r="BK41" s="27" t="s">
        <v>95</v>
      </c>
      <c r="BL41" s="27" t="s">
        <v>96</v>
      </c>
      <c r="BM41" s="27">
        <v>0</v>
      </c>
      <c r="BN41" s="27">
        <v>0</v>
      </c>
      <c r="BO41" s="27" t="s">
        <v>313</v>
      </c>
      <c r="BP41" s="27" t="s">
        <v>315</v>
      </c>
      <c r="BQ41" s="27">
        <v>0</v>
      </c>
      <c r="BR41" s="27" t="s">
        <v>97</v>
      </c>
      <c r="BS41" s="27">
        <v>0</v>
      </c>
      <c r="BT41" s="27" t="s">
        <v>97</v>
      </c>
      <c r="BU41" s="27">
        <v>1</v>
      </c>
      <c r="BV41" s="27" t="s">
        <v>377</v>
      </c>
      <c r="BW41" s="27" t="s">
        <v>378</v>
      </c>
      <c r="BX41" s="27">
        <v>64</v>
      </c>
      <c r="BY41" s="27">
        <v>0</v>
      </c>
      <c r="BZ41" s="27" t="s">
        <v>99</v>
      </c>
      <c r="CA41" s="27" t="s">
        <v>100</v>
      </c>
      <c r="CB41" s="27" t="s">
        <v>101</v>
      </c>
      <c r="CC41" s="28">
        <v>45847</v>
      </c>
      <c r="CE41" t="s">
        <v>385</v>
      </c>
    </row>
    <row r="42" spans="1:83" x14ac:dyDescent="0.3">
      <c r="A42" s="30" t="s">
        <v>294</v>
      </c>
      <c r="B42" s="30" t="s">
        <v>327</v>
      </c>
      <c r="C42" s="27" t="s">
        <v>317</v>
      </c>
      <c r="D42" s="27">
        <v>2019</v>
      </c>
      <c r="E42" s="30" t="s">
        <v>319</v>
      </c>
      <c r="F42" s="30" t="s">
        <v>320</v>
      </c>
      <c r="G42" s="27" t="s">
        <v>78</v>
      </c>
      <c r="H42" s="27">
        <v>1</v>
      </c>
      <c r="I42" s="27" t="s">
        <v>291</v>
      </c>
      <c r="J42" s="27" t="s">
        <v>79</v>
      </c>
      <c r="L42" s="27" t="s">
        <v>129</v>
      </c>
      <c r="M42" s="27" t="s">
        <v>382</v>
      </c>
      <c r="N42" s="27">
        <v>-0.03</v>
      </c>
      <c r="O42" s="27">
        <v>0.13</v>
      </c>
      <c r="P42" s="27">
        <f>N42/O42</f>
        <v>-0.23076923076923075</v>
      </c>
      <c r="Q42" s="27" t="s">
        <v>313</v>
      </c>
      <c r="R42" s="27" t="s">
        <v>313</v>
      </c>
      <c r="S42" s="27" t="s">
        <v>313</v>
      </c>
      <c r="T42" s="27">
        <v>4443</v>
      </c>
      <c r="U42" s="27" t="s">
        <v>313</v>
      </c>
      <c r="V42" s="27">
        <f>T42</f>
        <v>4443</v>
      </c>
      <c r="W42" s="27">
        <f>P42/(P42^2 + V42)^(1/2)</f>
        <v>-3.4620803502503146E-3</v>
      </c>
      <c r="X42" s="27">
        <f>((1-W42^2)/V42)^(1/2)</f>
        <v>1.5002348184418032E-2</v>
      </c>
      <c r="Y42" s="27">
        <f>W42</f>
        <v>-3.4620803502503146E-3</v>
      </c>
      <c r="Z42" s="27" t="s">
        <v>81</v>
      </c>
      <c r="AA42" s="32">
        <f t="shared" si="10"/>
        <v>-2.0654999999999996E-3</v>
      </c>
      <c r="AB42" s="32">
        <f t="shared" si="11"/>
        <v>8.9505000000000001E-3</v>
      </c>
      <c r="AC42" s="32">
        <f>AA42</f>
        <v>-2.0654999999999996E-3</v>
      </c>
      <c r="AD42" s="27" t="s">
        <v>82</v>
      </c>
      <c r="AE42" s="27" t="s">
        <v>297</v>
      </c>
      <c r="AF42" s="27">
        <v>68.849999999999994</v>
      </c>
      <c r="AG42" s="27">
        <v>35.299999999999997</v>
      </c>
      <c r="AH42" s="27">
        <v>15.39</v>
      </c>
      <c r="AI42" s="27">
        <v>224.67</v>
      </c>
      <c r="AJ42" s="27" t="s">
        <v>83</v>
      </c>
      <c r="AK42" s="27" t="s">
        <v>133</v>
      </c>
      <c r="AL42" s="27" t="s">
        <v>85</v>
      </c>
      <c r="AM42" s="27" t="s">
        <v>110</v>
      </c>
      <c r="AN42" s="27">
        <v>0</v>
      </c>
      <c r="AO42" s="27">
        <v>5</v>
      </c>
      <c r="AP42" s="27" t="s">
        <v>87</v>
      </c>
      <c r="AQ42" s="27" t="s">
        <v>88</v>
      </c>
      <c r="AR42" s="27" t="s">
        <v>89</v>
      </c>
      <c r="AS42" s="27" t="s">
        <v>114</v>
      </c>
      <c r="AT42" s="27" t="s">
        <v>292</v>
      </c>
      <c r="AU42" s="27">
        <v>112.4</v>
      </c>
      <c r="AV42" s="27" t="s">
        <v>313</v>
      </c>
      <c r="AW42" s="27" t="s">
        <v>313</v>
      </c>
      <c r="AX42" s="27" t="s">
        <v>313</v>
      </c>
      <c r="AY42" s="27" t="s">
        <v>91</v>
      </c>
      <c r="AZ42" s="27" t="s">
        <v>84</v>
      </c>
      <c r="BA42" s="27" t="s">
        <v>376</v>
      </c>
      <c r="BB42" s="27" t="s">
        <v>290</v>
      </c>
      <c r="BC42" s="27" t="s">
        <v>316</v>
      </c>
      <c r="BD42" s="27" t="s">
        <v>117</v>
      </c>
      <c r="BE42" s="27" t="s">
        <v>93</v>
      </c>
      <c r="BF42" s="27" t="s">
        <v>313</v>
      </c>
      <c r="BG42" s="27" t="s">
        <v>313</v>
      </c>
      <c r="BH42" s="28">
        <v>41883</v>
      </c>
      <c r="BI42" s="28">
        <v>42155</v>
      </c>
      <c r="BJ42" s="27" t="s">
        <v>94</v>
      </c>
      <c r="BK42" s="27" t="s">
        <v>95</v>
      </c>
      <c r="BL42" s="27" t="s">
        <v>140</v>
      </c>
      <c r="BM42" s="27">
        <v>1</v>
      </c>
      <c r="BN42" s="27">
        <v>1</v>
      </c>
      <c r="BO42" s="27" t="s">
        <v>304</v>
      </c>
      <c r="BP42" s="27" t="s">
        <v>315</v>
      </c>
      <c r="BQ42" s="27">
        <v>0</v>
      </c>
      <c r="BR42" s="27" t="s">
        <v>97</v>
      </c>
      <c r="BS42" s="27">
        <v>0</v>
      </c>
      <c r="BT42" s="27" t="s">
        <v>97</v>
      </c>
      <c r="BU42" s="27">
        <v>1</v>
      </c>
      <c r="BV42" s="27" t="s">
        <v>377</v>
      </c>
      <c r="BW42" s="27" t="s">
        <v>378</v>
      </c>
      <c r="BX42" s="27">
        <v>64</v>
      </c>
      <c r="BY42" s="27">
        <v>1</v>
      </c>
      <c r="BZ42" s="27" t="s">
        <v>99</v>
      </c>
      <c r="CA42" s="27" t="s">
        <v>100</v>
      </c>
      <c r="CB42" s="27" t="s">
        <v>101</v>
      </c>
      <c r="CC42" s="28">
        <v>45847</v>
      </c>
      <c r="CE42" t="s">
        <v>385</v>
      </c>
    </row>
    <row r="43" spans="1:83" x14ac:dyDescent="0.3">
      <c r="A43" s="30" t="s">
        <v>294</v>
      </c>
      <c r="B43" s="30" t="s">
        <v>328</v>
      </c>
      <c r="C43" s="27" t="s">
        <v>317</v>
      </c>
      <c r="D43" s="27">
        <v>2019</v>
      </c>
      <c r="E43" s="30" t="s">
        <v>319</v>
      </c>
      <c r="F43" s="30" t="s">
        <v>320</v>
      </c>
      <c r="G43" s="27" t="s">
        <v>78</v>
      </c>
      <c r="H43" s="27">
        <v>1</v>
      </c>
      <c r="I43" s="27" t="s">
        <v>291</v>
      </c>
      <c r="J43" s="27" t="s">
        <v>79</v>
      </c>
      <c r="L43" s="27" t="s">
        <v>129</v>
      </c>
      <c r="M43" s="27" t="s">
        <v>382</v>
      </c>
      <c r="N43" s="27">
        <v>-0.21</v>
      </c>
      <c r="O43" s="27">
        <v>0.18</v>
      </c>
      <c r="P43" s="27">
        <f>N43/O43</f>
        <v>-1.1666666666666667</v>
      </c>
      <c r="Q43" s="27" t="s">
        <v>313</v>
      </c>
      <c r="R43" s="27" t="s">
        <v>313</v>
      </c>
      <c r="S43" s="27" t="s">
        <v>313</v>
      </c>
      <c r="T43" s="27">
        <v>4443</v>
      </c>
      <c r="U43" s="27" t="s">
        <v>313</v>
      </c>
      <c r="V43" s="27">
        <f t="shared" ref="V43:V65" si="12">T43</f>
        <v>4443</v>
      </c>
      <c r="W43" s="27">
        <f>P43/(P43^2 + V43)^(1/2)</f>
        <v>-1.7500164064807169E-2</v>
      </c>
      <c r="X43" s="27">
        <f t="shared" ref="X43:X65" si="13">((1-W43^2)/V43)^(1/2)</f>
        <v>1.5000140626977571E-2</v>
      </c>
      <c r="Y43" s="27">
        <f t="shared" ref="Y43:Y65" si="14">W43</f>
        <v>-1.7500164064807169E-2</v>
      </c>
      <c r="Z43" s="27" t="s">
        <v>81</v>
      </c>
      <c r="AA43" s="32">
        <f t="shared" si="10"/>
        <v>-1.4458499999999999E-2</v>
      </c>
      <c r="AB43" s="32">
        <f t="shared" si="11"/>
        <v>1.2393E-2</v>
      </c>
      <c r="AC43" s="32">
        <f>AA43</f>
        <v>-1.4458499999999999E-2</v>
      </c>
      <c r="AD43" s="27" t="s">
        <v>82</v>
      </c>
      <c r="AE43" s="27" t="s">
        <v>297</v>
      </c>
      <c r="AF43" s="27">
        <v>68.849999999999994</v>
      </c>
      <c r="AG43" s="27">
        <v>35.299999999999997</v>
      </c>
      <c r="AH43" s="27">
        <v>15.39</v>
      </c>
      <c r="AI43" s="27">
        <v>224.67</v>
      </c>
      <c r="AJ43" s="27" t="s">
        <v>83</v>
      </c>
      <c r="AK43" s="27" t="s">
        <v>133</v>
      </c>
      <c r="AL43" s="27" t="s">
        <v>85</v>
      </c>
      <c r="AM43" s="27" t="s">
        <v>110</v>
      </c>
      <c r="AN43" s="27">
        <v>0</v>
      </c>
      <c r="AO43" s="27">
        <v>10</v>
      </c>
      <c r="AP43" s="27" t="s">
        <v>87</v>
      </c>
      <c r="AQ43" s="27" t="s">
        <v>88</v>
      </c>
      <c r="AR43" s="27" t="s">
        <v>89</v>
      </c>
      <c r="AS43" s="27" t="s">
        <v>114</v>
      </c>
      <c r="AT43" s="27" t="s">
        <v>292</v>
      </c>
      <c r="AU43" s="27">
        <v>112.4</v>
      </c>
      <c r="AV43" s="27" t="s">
        <v>313</v>
      </c>
      <c r="AW43" s="27" t="s">
        <v>313</v>
      </c>
      <c r="AX43" s="27" t="s">
        <v>313</v>
      </c>
      <c r="AY43" s="27" t="s">
        <v>91</v>
      </c>
      <c r="AZ43" s="27" t="s">
        <v>84</v>
      </c>
      <c r="BA43" s="27" t="s">
        <v>376</v>
      </c>
      <c r="BB43" s="27" t="s">
        <v>290</v>
      </c>
      <c r="BC43" s="27" t="s">
        <v>316</v>
      </c>
      <c r="BD43" s="27" t="s">
        <v>117</v>
      </c>
      <c r="BE43" s="27" t="s">
        <v>93</v>
      </c>
      <c r="BF43" s="27" t="s">
        <v>313</v>
      </c>
      <c r="BG43" s="27" t="s">
        <v>313</v>
      </c>
      <c r="BH43" s="28">
        <v>41883</v>
      </c>
      <c r="BI43" s="28">
        <v>42155</v>
      </c>
      <c r="BJ43" s="27" t="s">
        <v>94</v>
      </c>
      <c r="BK43" s="27" t="s">
        <v>95</v>
      </c>
      <c r="BL43" s="27" t="s">
        <v>140</v>
      </c>
      <c r="BM43" s="27">
        <v>1</v>
      </c>
      <c r="BN43" s="27">
        <v>1</v>
      </c>
      <c r="BO43" s="27" t="s">
        <v>304</v>
      </c>
      <c r="BP43" s="27" t="s">
        <v>315</v>
      </c>
      <c r="BQ43" s="27">
        <v>0</v>
      </c>
      <c r="BR43" s="27" t="s">
        <v>97</v>
      </c>
      <c r="BS43" s="27">
        <v>0</v>
      </c>
      <c r="BT43" s="27" t="s">
        <v>97</v>
      </c>
      <c r="BU43" s="27">
        <v>1</v>
      </c>
      <c r="BV43" s="27" t="s">
        <v>377</v>
      </c>
      <c r="BW43" s="27" t="s">
        <v>378</v>
      </c>
      <c r="BX43" s="27">
        <v>64</v>
      </c>
      <c r="BY43" s="27">
        <v>1</v>
      </c>
      <c r="BZ43" s="27" t="s">
        <v>99</v>
      </c>
      <c r="CA43" s="27" t="s">
        <v>100</v>
      </c>
      <c r="CB43" s="27" t="s">
        <v>101</v>
      </c>
      <c r="CC43" s="28">
        <v>45847</v>
      </c>
      <c r="CE43" t="s">
        <v>385</v>
      </c>
    </row>
    <row r="44" spans="1:83" x14ac:dyDescent="0.3">
      <c r="A44" s="30" t="s">
        <v>294</v>
      </c>
      <c r="B44" s="30" t="s">
        <v>329</v>
      </c>
      <c r="C44" s="27" t="s">
        <v>317</v>
      </c>
      <c r="D44" s="27">
        <v>2019</v>
      </c>
      <c r="E44" s="30" t="s">
        <v>319</v>
      </c>
      <c r="F44" s="30" t="s">
        <v>320</v>
      </c>
      <c r="G44" s="27" t="s">
        <v>78</v>
      </c>
      <c r="H44" s="27">
        <v>1</v>
      </c>
      <c r="I44" s="27" t="s">
        <v>291</v>
      </c>
      <c r="J44" s="27" t="s">
        <v>79</v>
      </c>
      <c r="L44" s="27" t="s">
        <v>129</v>
      </c>
      <c r="M44" s="27" t="s">
        <v>382</v>
      </c>
      <c r="N44" s="27">
        <v>-0.32</v>
      </c>
      <c r="O44" s="27">
        <v>0.2</v>
      </c>
      <c r="P44" s="27">
        <f>N44/O44</f>
        <v>-1.5999999999999999</v>
      </c>
      <c r="Q44" s="27" t="s">
        <v>313</v>
      </c>
      <c r="R44" s="27" t="s">
        <v>313</v>
      </c>
      <c r="S44" s="27" t="s">
        <v>313</v>
      </c>
      <c r="T44" s="27">
        <v>4443</v>
      </c>
      <c r="U44" s="27" t="s">
        <v>313</v>
      </c>
      <c r="V44" s="27">
        <f t="shared" si="12"/>
        <v>4443</v>
      </c>
      <c r="W44" s="27">
        <f>P44/(P44^2 + V44)^(1/2)</f>
        <v>-2.3996988566890424E-2</v>
      </c>
      <c r="X44" s="27">
        <f t="shared" si="13"/>
        <v>1.4998117854306516E-2</v>
      </c>
      <c r="Y44" s="27">
        <f t="shared" si="14"/>
        <v>-2.3996988566890424E-2</v>
      </c>
      <c r="Z44" s="27" t="s">
        <v>81</v>
      </c>
      <c r="AA44" s="32">
        <f t="shared" si="10"/>
        <v>-2.2032E-2</v>
      </c>
      <c r="AB44" s="32">
        <f t="shared" si="11"/>
        <v>1.3769999999999999E-2</v>
      </c>
      <c r="AC44" s="32">
        <f>AA44</f>
        <v>-2.2032E-2</v>
      </c>
      <c r="AD44" s="27" t="s">
        <v>82</v>
      </c>
      <c r="AE44" s="27" t="s">
        <v>297</v>
      </c>
      <c r="AF44" s="27">
        <v>68.849999999999994</v>
      </c>
      <c r="AG44" s="27">
        <v>35.299999999999997</v>
      </c>
      <c r="AH44" s="27">
        <v>15.39</v>
      </c>
      <c r="AI44" s="27">
        <v>224.67</v>
      </c>
      <c r="AJ44" s="27" t="s">
        <v>83</v>
      </c>
      <c r="AK44" s="27" t="s">
        <v>133</v>
      </c>
      <c r="AL44" s="27" t="s">
        <v>85</v>
      </c>
      <c r="AM44" s="27" t="s">
        <v>110</v>
      </c>
      <c r="AN44" s="27">
        <v>0</v>
      </c>
      <c r="AO44" s="27">
        <v>15</v>
      </c>
      <c r="AP44" s="27" t="s">
        <v>87</v>
      </c>
      <c r="AQ44" s="27" t="s">
        <v>88</v>
      </c>
      <c r="AR44" s="27" t="s">
        <v>89</v>
      </c>
      <c r="AS44" s="27" t="s">
        <v>114</v>
      </c>
      <c r="AT44" s="27" t="s">
        <v>292</v>
      </c>
      <c r="AU44" s="27">
        <v>112.4</v>
      </c>
      <c r="AV44" s="27" t="s">
        <v>313</v>
      </c>
      <c r="AW44" s="27" t="s">
        <v>313</v>
      </c>
      <c r="AX44" s="27" t="s">
        <v>313</v>
      </c>
      <c r="AY44" s="27" t="s">
        <v>91</v>
      </c>
      <c r="AZ44" s="27" t="s">
        <v>84</v>
      </c>
      <c r="BA44" s="27" t="s">
        <v>376</v>
      </c>
      <c r="BB44" s="27" t="s">
        <v>290</v>
      </c>
      <c r="BC44" s="27" t="s">
        <v>316</v>
      </c>
      <c r="BD44" s="27" t="s">
        <v>117</v>
      </c>
      <c r="BE44" s="27" t="s">
        <v>93</v>
      </c>
      <c r="BF44" s="27" t="s">
        <v>313</v>
      </c>
      <c r="BG44" s="27" t="s">
        <v>313</v>
      </c>
      <c r="BH44" s="28">
        <v>41883</v>
      </c>
      <c r="BI44" s="28">
        <v>42155</v>
      </c>
      <c r="BJ44" s="27" t="s">
        <v>94</v>
      </c>
      <c r="BK44" s="27" t="s">
        <v>95</v>
      </c>
      <c r="BL44" s="27" t="s">
        <v>140</v>
      </c>
      <c r="BM44" s="27">
        <v>1</v>
      </c>
      <c r="BN44" s="27">
        <v>1</v>
      </c>
      <c r="BO44" s="27" t="s">
        <v>304</v>
      </c>
      <c r="BP44" s="27" t="s">
        <v>315</v>
      </c>
      <c r="BQ44" s="27">
        <v>0</v>
      </c>
      <c r="BR44" s="27" t="s">
        <v>97</v>
      </c>
      <c r="BS44" s="27">
        <v>0</v>
      </c>
      <c r="BT44" s="27" t="s">
        <v>97</v>
      </c>
      <c r="BU44" s="27">
        <v>1</v>
      </c>
      <c r="BV44" s="27" t="s">
        <v>377</v>
      </c>
      <c r="BW44" s="27" t="s">
        <v>378</v>
      </c>
      <c r="BX44" s="27">
        <v>64</v>
      </c>
      <c r="BY44" s="27">
        <v>1</v>
      </c>
      <c r="BZ44" s="27" t="s">
        <v>99</v>
      </c>
      <c r="CA44" s="27" t="s">
        <v>100</v>
      </c>
      <c r="CB44" s="27" t="s">
        <v>101</v>
      </c>
      <c r="CC44" s="28">
        <v>45847</v>
      </c>
      <c r="CE44" t="s">
        <v>385</v>
      </c>
    </row>
    <row r="45" spans="1:83" x14ac:dyDescent="0.3">
      <c r="A45" s="30" t="s">
        <v>294</v>
      </c>
      <c r="B45" s="30" t="s">
        <v>330</v>
      </c>
      <c r="C45" s="27" t="s">
        <v>317</v>
      </c>
      <c r="D45" s="27">
        <v>2019</v>
      </c>
      <c r="E45" s="30" t="s">
        <v>319</v>
      </c>
      <c r="F45" s="30" t="s">
        <v>320</v>
      </c>
      <c r="G45" s="27" t="s">
        <v>78</v>
      </c>
      <c r="H45" s="27">
        <v>1</v>
      </c>
      <c r="I45" s="27" t="s">
        <v>291</v>
      </c>
      <c r="J45" s="27" t="s">
        <v>79</v>
      </c>
      <c r="L45" s="27" t="s">
        <v>129</v>
      </c>
      <c r="M45" s="27" t="s">
        <v>382</v>
      </c>
      <c r="N45" s="27">
        <v>-0.46</v>
      </c>
      <c r="O45" s="27">
        <v>0.21</v>
      </c>
      <c r="P45" s="27">
        <f>N45/O45</f>
        <v>-2.1904761904761907</v>
      </c>
      <c r="Q45" s="27" t="s">
        <v>313</v>
      </c>
      <c r="R45" s="27" t="s">
        <v>313</v>
      </c>
      <c r="S45" s="27" t="s">
        <v>313</v>
      </c>
      <c r="T45" s="27">
        <v>4443</v>
      </c>
      <c r="U45" s="27" t="s">
        <v>313</v>
      </c>
      <c r="V45" s="27">
        <f t="shared" si="12"/>
        <v>4443</v>
      </c>
      <c r="W45" s="27">
        <f>P45/(P45^2 + V45)^(1/2)</f>
        <v>-3.2844753002775111E-2</v>
      </c>
      <c r="X45" s="27">
        <f t="shared" si="13"/>
        <v>1.499434376213646E-2</v>
      </c>
      <c r="Y45" s="27">
        <f t="shared" si="14"/>
        <v>-3.2844753002775111E-2</v>
      </c>
      <c r="Z45" s="27" t="s">
        <v>81</v>
      </c>
      <c r="AA45" s="32">
        <f t="shared" si="10"/>
        <v>-3.1670999999999998E-2</v>
      </c>
      <c r="AB45" s="32">
        <f t="shared" si="11"/>
        <v>1.4458499999999999E-2</v>
      </c>
      <c r="AC45" s="32">
        <f>AA45</f>
        <v>-3.1670999999999998E-2</v>
      </c>
      <c r="AD45" s="27" t="s">
        <v>82</v>
      </c>
      <c r="AE45" s="27" t="s">
        <v>297</v>
      </c>
      <c r="AF45" s="27">
        <v>68.849999999999994</v>
      </c>
      <c r="AG45" s="27">
        <v>35.299999999999997</v>
      </c>
      <c r="AH45" s="27">
        <v>15.39</v>
      </c>
      <c r="AI45" s="27">
        <v>224.67</v>
      </c>
      <c r="AJ45" s="27" t="s">
        <v>83</v>
      </c>
      <c r="AK45" s="27" t="s">
        <v>133</v>
      </c>
      <c r="AL45" s="27" t="s">
        <v>85</v>
      </c>
      <c r="AM45" s="27" t="s">
        <v>110</v>
      </c>
      <c r="AN45" s="27">
        <v>0</v>
      </c>
      <c r="AO45" s="27">
        <v>20</v>
      </c>
      <c r="AP45" s="27" t="s">
        <v>87</v>
      </c>
      <c r="AQ45" s="27" t="s">
        <v>88</v>
      </c>
      <c r="AR45" s="27" t="s">
        <v>89</v>
      </c>
      <c r="AS45" s="27" t="s">
        <v>114</v>
      </c>
      <c r="AT45" s="27" t="s">
        <v>292</v>
      </c>
      <c r="AU45" s="27">
        <v>112.4</v>
      </c>
      <c r="AV45" s="27" t="s">
        <v>313</v>
      </c>
      <c r="AW45" s="27" t="s">
        <v>313</v>
      </c>
      <c r="AX45" s="27" t="s">
        <v>313</v>
      </c>
      <c r="AY45" s="27" t="s">
        <v>91</v>
      </c>
      <c r="AZ45" s="27" t="s">
        <v>84</v>
      </c>
      <c r="BA45" s="27" t="s">
        <v>376</v>
      </c>
      <c r="BB45" s="27" t="s">
        <v>290</v>
      </c>
      <c r="BC45" s="27" t="s">
        <v>316</v>
      </c>
      <c r="BD45" s="27" t="s">
        <v>117</v>
      </c>
      <c r="BE45" s="27" t="s">
        <v>93</v>
      </c>
      <c r="BF45" s="27" t="s">
        <v>313</v>
      </c>
      <c r="BG45" s="27" t="s">
        <v>313</v>
      </c>
      <c r="BH45" s="28">
        <v>41883</v>
      </c>
      <c r="BI45" s="28">
        <v>42155</v>
      </c>
      <c r="BJ45" s="27" t="s">
        <v>94</v>
      </c>
      <c r="BK45" s="27" t="s">
        <v>95</v>
      </c>
      <c r="BL45" s="27" t="s">
        <v>140</v>
      </c>
      <c r="BM45" s="27">
        <v>1</v>
      </c>
      <c r="BN45" s="27">
        <v>1</v>
      </c>
      <c r="BO45" s="27" t="s">
        <v>304</v>
      </c>
      <c r="BP45" s="27" t="s">
        <v>315</v>
      </c>
      <c r="BQ45" s="27">
        <v>0</v>
      </c>
      <c r="BR45" s="27" t="s">
        <v>97</v>
      </c>
      <c r="BS45" s="27">
        <v>0</v>
      </c>
      <c r="BT45" s="27" t="s">
        <v>97</v>
      </c>
      <c r="BU45" s="27">
        <v>1</v>
      </c>
      <c r="BV45" s="27" t="s">
        <v>377</v>
      </c>
      <c r="BW45" s="27" t="s">
        <v>378</v>
      </c>
      <c r="BX45" s="27">
        <v>64</v>
      </c>
      <c r="BY45" s="27">
        <v>1</v>
      </c>
      <c r="BZ45" s="27" t="s">
        <v>99</v>
      </c>
      <c r="CA45" s="27" t="s">
        <v>100</v>
      </c>
      <c r="CB45" s="27" t="s">
        <v>101</v>
      </c>
      <c r="CC45" s="28">
        <v>45847</v>
      </c>
      <c r="CE45" t="s">
        <v>385</v>
      </c>
    </row>
    <row r="46" spans="1:83" x14ac:dyDescent="0.3">
      <c r="A46" s="30" t="s">
        <v>294</v>
      </c>
      <c r="B46" s="30" t="s">
        <v>331</v>
      </c>
      <c r="C46" s="27" t="s">
        <v>317</v>
      </c>
      <c r="D46" s="27">
        <v>2019</v>
      </c>
      <c r="E46" s="30" t="s">
        <v>319</v>
      </c>
      <c r="F46" s="30" t="s">
        <v>320</v>
      </c>
      <c r="G46" s="27" t="s">
        <v>78</v>
      </c>
      <c r="H46" s="27">
        <v>1</v>
      </c>
      <c r="I46" s="27" t="s">
        <v>291</v>
      </c>
      <c r="J46" s="27" t="s">
        <v>79</v>
      </c>
      <c r="L46" s="27" t="s">
        <v>129</v>
      </c>
      <c r="M46" s="27" t="s">
        <v>382</v>
      </c>
      <c r="N46" s="27">
        <v>-0.61</v>
      </c>
      <c r="O46" s="27">
        <v>0.21</v>
      </c>
      <c r="P46" s="27">
        <f>N46/O46</f>
        <v>-2.9047619047619047</v>
      </c>
      <c r="Q46" s="27" t="s">
        <v>313</v>
      </c>
      <c r="R46" s="27" t="s">
        <v>313</v>
      </c>
      <c r="S46" s="27" t="s">
        <v>313</v>
      </c>
      <c r="T46" s="27">
        <v>4443</v>
      </c>
      <c r="U46" s="27" t="s">
        <v>313</v>
      </c>
      <c r="V46" s="27">
        <f t="shared" si="12"/>
        <v>4443</v>
      </c>
      <c r="W46" s="27">
        <f>P46/(P46^2 + V46)^(1/2)</f>
        <v>-4.3537189816839912E-2</v>
      </c>
      <c r="X46" s="27">
        <f t="shared" si="13"/>
        <v>1.4988212887764562E-2</v>
      </c>
      <c r="Y46" s="27">
        <f t="shared" si="14"/>
        <v>-4.3537189816839912E-2</v>
      </c>
      <c r="Z46" s="27" t="s">
        <v>81</v>
      </c>
      <c r="AA46" s="32">
        <f t="shared" si="10"/>
        <v>-4.1998499999999994E-2</v>
      </c>
      <c r="AB46" s="32">
        <f t="shared" si="11"/>
        <v>1.4458499999999999E-2</v>
      </c>
      <c r="AC46" s="32">
        <f>AA46</f>
        <v>-4.1998499999999994E-2</v>
      </c>
      <c r="AD46" s="27" t="s">
        <v>82</v>
      </c>
      <c r="AE46" s="27" t="s">
        <v>297</v>
      </c>
      <c r="AF46" s="27">
        <v>68.849999999999994</v>
      </c>
      <c r="AG46" s="27">
        <v>35.299999999999997</v>
      </c>
      <c r="AH46" s="27">
        <v>15.39</v>
      </c>
      <c r="AI46" s="27">
        <v>224.67</v>
      </c>
      <c r="AJ46" s="27" t="s">
        <v>83</v>
      </c>
      <c r="AK46" s="27" t="s">
        <v>133</v>
      </c>
      <c r="AL46" s="27" t="s">
        <v>85</v>
      </c>
      <c r="AM46" s="27" t="s">
        <v>110</v>
      </c>
      <c r="AN46" s="27">
        <v>0</v>
      </c>
      <c r="AO46" s="27">
        <v>25</v>
      </c>
      <c r="AP46" s="27" t="s">
        <v>87</v>
      </c>
      <c r="AQ46" s="27" t="s">
        <v>88</v>
      </c>
      <c r="AR46" s="27" t="s">
        <v>89</v>
      </c>
      <c r="AS46" s="27" t="s">
        <v>114</v>
      </c>
      <c r="AT46" s="27" t="s">
        <v>292</v>
      </c>
      <c r="AU46" s="27">
        <v>112.4</v>
      </c>
      <c r="AV46" s="27" t="s">
        <v>313</v>
      </c>
      <c r="AW46" s="27" t="s">
        <v>313</v>
      </c>
      <c r="AX46" s="27" t="s">
        <v>313</v>
      </c>
      <c r="AY46" s="27" t="s">
        <v>91</v>
      </c>
      <c r="AZ46" s="27" t="s">
        <v>84</v>
      </c>
      <c r="BA46" s="27" t="s">
        <v>376</v>
      </c>
      <c r="BB46" s="27" t="s">
        <v>290</v>
      </c>
      <c r="BC46" s="27" t="s">
        <v>316</v>
      </c>
      <c r="BD46" s="27" t="s">
        <v>117</v>
      </c>
      <c r="BE46" s="27" t="s">
        <v>93</v>
      </c>
      <c r="BF46" s="27" t="s">
        <v>313</v>
      </c>
      <c r="BG46" s="27" t="s">
        <v>313</v>
      </c>
      <c r="BH46" s="28">
        <v>41883</v>
      </c>
      <c r="BI46" s="28">
        <v>42155</v>
      </c>
      <c r="BJ46" s="27" t="s">
        <v>94</v>
      </c>
      <c r="BK46" s="27" t="s">
        <v>95</v>
      </c>
      <c r="BL46" s="27" t="s">
        <v>140</v>
      </c>
      <c r="BM46" s="27">
        <v>1</v>
      </c>
      <c r="BN46" s="27">
        <v>1</v>
      </c>
      <c r="BO46" s="27" t="s">
        <v>304</v>
      </c>
      <c r="BP46" s="27" t="s">
        <v>315</v>
      </c>
      <c r="BQ46" s="27">
        <v>0</v>
      </c>
      <c r="BR46" s="27" t="s">
        <v>97</v>
      </c>
      <c r="BS46" s="27">
        <v>0</v>
      </c>
      <c r="BT46" s="27" t="s">
        <v>97</v>
      </c>
      <c r="BU46" s="27">
        <v>1</v>
      </c>
      <c r="BV46" s="27" t="s">
        <v>377</v>
      </c>
      <c r="BW46" s="27" t="s">
        <v>378</v>
      </c>
      <c r="BX46" s="27">
        <v>64</v>
      </c>
      <c r="BY46" s="27">
        <v>1</v>
      </c>
      <c r="BZ46" s="27" t="s">
        <v>99</v>
      </c>
      <c r="CA46" s="27" t="s">
        <v>100</v>
      </c>
      <c r="CB46" s="27" t="s">
        <v>101</v>
      </c>
      <c r="CC46" s="28">
        <v>45847</v>
      </c>
      <c r="CE46" t="s">
        <v>385</v>
      </c>
    </row>
    <row r="47" spans="1:83" x14ac:dyDescent="0.3">
      <c r="A47" s="30" t="s">
        <v>294</v>
      </c>
      <c r="B47" s="30" t="s">
        <v>332</v>
      </c>
      <c r="C47" s="27" t="s">
        <v>317</v>
      </c>
      <c r="D47" s="27">
        <v>2019</v>
      </c>
      <c r="E47" s="30" t="s">
        <v>319</v>
      </c>
      <c r="F47" s="30" t="s">
        <v>320</v>
      </c>
      <c r="G47" s="27" t="s">
        <v>78</v>
      </c>
      <c r="H47" s="27">
        <v>1</v>
      </c>
      <c r="I47" s="27" t="s">
        <v>291</v>
      </c>
      <c r="J47" s="27" t="s">
        <v>79</v>
      </c>
      <c r="L47" s="27" t="s">
        <v>129</v>
      </c>
      <c r="M47" s="27" t="s">
        <v>382</v>
      </c>
      <c r="N47" s="27">
        <v>-0.35</v>
      </c>
      <c r="O47" s="27">
        <v>0.2</v>
      </c>
      <c r="P47" s="27">
        <f>N47/O47</f>
        <v>-1.7499999999999998</v>
      </c>
      <c r="Q47" s="27" t="s">
        <v>313</v>
      </c>
      <c r="R47" s="27" t="s">
        <v>313</v>
      </c>
      <c r="S47" s="27" t="s">
        <v>313</v>
      </c>
      <c r="T47" s="27">
        <v>4443</v>
      </c>
      <c r="U47" s="27" t="s">
        <v>313</v>
      </c>
      <c r="V47" s="27">
        <f t="shared" si="12"/>
        <v>4443</v>
      </c>
      <c r="W47" s="27">
        <f>P47/(P47^2 + V47)^(1/2)</f>
        <v>-2.6245222983997223E-2</v>
      </c>
      <c r="X47" s="27">
        <f t="shared" si="13"/>
        <v>1.4997270276569843E-2</v>
      </c>
      <c r="Y47" s="27">
        <f t="shared" si="14"/>
        <v>-2.6245222983997223E-2</v>
      </c>
      <c r="Z47" s="27" t="s">
        <v>81</v>
      </c>
      <c r="AA47" s="32">
        <f t="shared" si="10"/>
        <v>-2.4097499999999997E-2</v>
      </c>
      <c r="AB47" s="32">
        <f t="shared" si="11"/>
        <v>1.3769999999999999E-2</v>
      </c>
      <c r="AC47" s="32">
        <f>AA47</f>
        <v>-2.4097499999999997E-2</v>
      </c>
      <c r="AD47" s="27" t="s">
        <v>82</v>
      </c>
      <c r="AE47" s="27" t="s">
        <v>297</v>
      </c>
      <c r="AF47" s="27">
        <v>68.849999999999994</v>
      </c>
      <c r="AG47" s="27">
        <v>35.299999999999997</v>
      </c>
      <c r="AH47" s="27">
        <v>15.39</v>
      </c>
      <c r="AI47" s="27">
        <v>224.67</v>
      </c>
      <c r="AJ47" s="27" t="s">
        <v>83</v>
      </c>
      <c r="AK47" s="27" t="s">
        <v>133</v>
      </c>
      <c r="AL47" s="27" t="s">
        <v>85</v>
      </c>
      <c r="AM47" s="27" t="s">
        <v>110</v>
      </c>
      <c r="AN47" s="27">
        <v>0</v>
      </c>
      <c r="AO47" s="27">
        <v>30</v>
      </c>
      <c r="AP47" s="27" t="s">
        <v>87</v>
      </c>
      <c r="AQ47" s="27" t="s">
        <v>88</v>
      </c>
      <c r="AR47" s="27" t="s">
        <v>89</v>
      </c>
      <c r="AS47" s="27" t="s">
        <v>114</v>
      </c>
      <c r="AT47" s="27" t="s">
        <v>292</v>
      </c>
      <c r="AU47" s="27">
        <v>112.4</v>
      </c>
      <c r="AV47" s="27" t="s">
        <v>313</v>
      </c>
      <c r="AW47" s="27" t="s">
        <v>313</v>
      </c>
      <c r="AX47" s="27" t="s">
        <v>313</v>
      </c>
      <c r="AY47" s="27" t="s">
        <v>91</v>
      </c>
      <c r="AZ47" s="27" t="s">
        <v>84</v>
      </c>
      <c r="BA47" s="27" t="s">
        <v>376</v>
      </c>
      <c r="BB47" s="27" t="s">
        <v>290</v>
      </c>
      <c r="BC47" s="27" t="s">
        <v>316</v>
      </c>
      <c r="BD47" s="27" t="s">
        <v>117</v>
      </c>
      <c r="BE47" s="27" t="s">
        <v>93</v>
      </c>
      <c r="BF47" s="27" t="s">
        <v>313</v>
      </c>
      <c r="BG47" s="27" t="s">
        <v>313</v>
      </c>
      <c r="BH47" s="28">
        <v>41883</v>
      </c>
      <c r="BI47" s="28">
        <v>42155</v>
      </c>
      <c r="BJ47" s="27" t="s">
        <v>94</v>
      </c>
      <c r="BK47" s="27" t="s">
        <v>95</v>
      </c>
      <c r="BL47" s="27" t="s">
        <v>140</v>
      </c>
      <c r="BM47" s="27">
        <v>1</v>
      </c>
      <c r="BN47" s="27">
        <v>1</v>
      </c>
      <c r="BO47" s="27" t="s">
        <v>304</v>
      </c>
      <c r="BP47" s="27" t="s">
        <v>315</v>
      </c>
      <c r="BQ47" s="27">
        <v>0</v>
      </c>
      <c r="BR47" s="27" t="s">
        <v>97</v>
      </c>
      <c r="BS47" s="27">
        <v>0</v>
      </c>
      <c r="BT47" s="27" t="s">
        <v>97</v>
      </c>
      <c r="BU47" s="27">
        <v>1</v>
      </c>
      <c r="BV47" s="27" t="s">
        <v>377</v>
      </c>
      <c r="BW47" s="27" t="s">
        <v>378</v>
      </c>
      <c r="BX47" s="27">
        <v>64</v>
      </c>
      <c r="BY47" s="27">
        <v>1</v>
      </c>
      <c r="BZ47" s="27" t="s">
        <v>99</v>
      </c>
      <c r="CA47" s="27" t="s">
        <v>100</v>
      </c>
      <c r="CB47" s="27" t="s">
        <v>101</v>
      </c>
      <c r="CC47" s="28">
        <v>45847</v>
      </c>
      <c r="CE47" t="s">
        <v>385</v>
      </c>
    </row>
    <row r="48" spans="1:83" x14ac:dyDescent="0.3">
      <c r="A48" s="30" t="s">
        <v>294</v>
      </c>
      <c r="B48" s="30" t="s">
        <v>333</v>
      </c>
      <c r="C48" s="27" t="s">
        <v>317</v>
      </c>
      <c r="D48" s="27">
        <v>2019</v>
      </c>
      <c r="E48" s="30" t="s">
        <v>319</v>
      </c>
      <c r="F48" s="30" t="s">
        <v>320</v>
      </c>
      <c r="G48" s="27" t="s">
        <v>78</v>
      </c>
      <c r="H48" s="27">
        <v>1</v>
      </c>
      <c r="I48" s="27" t="s">
        <v>291</v>
      </c>
      <c r="J48" s="27" t="s">
        <v>79</v>
      </c>
      <c r="L48" s="27" t="s">
        <v>129</v>
      </c>
      <c r="M48" s="27" t="s">
        <v>382</v>
      </c>
      <c r="N48" s="27">
        <v>-0.32</v>
      </c>
      <c r="O48" s="27">
        <v>0.21</v>
      </c>
      <c r="P48" s="27">
        <f>N48/O48</f>
        <v>-1.5238095238095239</v>
      </c>
      <c r="Q48" s="27" t="s">
        <v>313</v>
      </c>
      <c r="R48" s="27" t="s">
        <v>313</v>
      </c>
      <c r="S48" s="27" t="s">
        <v>313</v>
      </c>
      <c r="T48" s="27">
        <v>4443</v>
      </c>
      <c r="U48" s="27" t="s">
        <v>313</v>
      </c>
      <c r="V48" s="27">
        <f t="shared" si="12"/>
        <v>4443</v>
      </c>
      <c r="W48" s="27">
        <f>P48/(P48^2 + V48)^(1/2)</f>
        <v>-2.2854886631487686E-2</v>
      </c>
      <c r="X48" s="27">
        <f t="shared" si="13"/>
        <v>1.4998519351913793E-2</v>
      </c>
      <c r="Y48" s="27">
        <f t="shared" si="14"/>
        <v>-2.2854886631487686E-2</v>
      </c>
      <c r="Z48" s="27" t="s">
        <v>81</v>
      </c>
      <c r="AA48" s="32">
        <f t="shared" si="10"/>
        <v>-9.8560000000000002E-3</v>
      </c>
      <c r="AB48" s="32">
        <f t="shared" si="11"/>
        <v>6.4679999999999998E-3</v>
      </c>
      <c r="AC48" s="32">
        <f>AA48</f>
        <v>-9.8560000000000002E-3</v>
      </c>
      <c r="AD48" s="27" t="s">
        <v>159</v>
      </c>
      <c r="AE48" s="27" t="s">
        <v>297</v>
      </c>
      <c r="AF48" s="27">
        <v>30.8</v>
      </c>
      <c r="AG48" s="27">
        <v>13.83</v>
      </c>
      <c r="AH48" s="27">
        <v>9.52</v>
      </c>
      <c r="AI48" s="27">
        <v>80.8</v>
      </c>
      <c r="AJ48" s="27" t="s">
        <v>83</v>
      </c>
      <c r="AK48" s="27" t="s">
        <v>133</v>
      </c>
      <c r="AL48" s="27" t="s">
        <v>85</v>
      </c>
      <c r="AM48" s="27" t="s">
        <v>110</v>
      </c>
      <c r="AN48" s="27">
        <v>0</v>
      </c>
      <c r="AO48" s="27">
        <v>5</v>
      </c>
      <c r="AP48" s="27" t="s">
        <v>87</v>
      </c>
      <c r="AQ48" s="27" t="s">
        <v>88</v>
      </c>
      <c r="AR48" s="27" t="s">
        <v>89</v>
      </c>
      <c r="AS48" s="27" t="s">
        <v>114</v>
      </c>
      <c r="AT48" s="27" t="s">
        <v>292</v>
      </c>
      <c r="AU48" s="27">
        <v>112.4</v>
      </c>
      <c r="AV48" s="27" t="s">
        <v>313</v>
      </c>
      <c r="AW48" s="27" t="s">
        <v>313</v>
      </c>
      <c r="AX48" s="27" t="s">
        <v>313</v>
      </c>
      <c r="AY48" s="27" t="s">
        <v>91</v>
      </c>
      <c r="AZ48" s="27" t="s">
        <v>84</v>
      </c>
      <c r="BA48" s="27" t="s">
        <v>376</v>
      </c>
      <c r="BB48" s="27" t="s">
        <v>290</v>
      </c>
      <c r="BC48" s="27" t="s">
        <v>316</v>
      </c>
      <c r="BD48" s="27" t="s">
        <v>117</v>
      </c>
      <c r="BE48" s="27" t="s">
        <v>93</v>
      </c>
      <c r="BF48" s="27" t="s">
        <v>313</v>
      </c>
      <c r="BG48" s="27" t="s">
        <v>313</v>
      </c>
      <c r="BH48" s="28">
        <v>41883</v>
      </c>
      <c r="BI48" s="28">
        <v>42155</v>
      </c>
      <c r="BJ48" s="27" t="s">
        <v>94</v>
      </c>
      <c r="BK48" s="27" t="s">
        <v>95</v>
      </c>
      <c r="BL48" s="27" t="s">
        <v>140</v>
      </c>
      <c r="BM48" s="27">
        <v>1</v>
      </c>
      <c r="BN48" s="27">
        <v>1</v>
      </c>
      <c r="BO48" s="27" t="s">
        <v>304</v>
      </c>
      <c r="BP48" s="27" t="s">
        <v>315</v>
      </c>
      <c r="BQ48" s="27">
        <v>0</v>
      </c>
      <c r="BR48" s="27" t="s">
        <v>97</v>
      </c>
      <c r="BS48" s="27">
        <v>0</v>
      </c>
      <c r="BT48" s="27" t="s">
        <v>97</v>
      </c>
      <c r="BU48" s="27">
        <v>1</v>
      </c>
      <c r="BV48" s="27" t="s">
        <v>377</v>
      </c>
      <c r="BW48" s="27" t="s">
        <v>378</v>
      </c>
      <c r="BX48" s="27">
        <v>64</v>
      </c>
      <c r="BY48" s="27">
        <v>1</v>
      </c>
      <c r="BZ48" s="27" t="s">
        <v>99</v>
      </c>
      <c r="CA48" s="27" t="s">
        <v>100</v>
      </c>
      <c r="CB48" s="27" t="s">
        <v>101</v>
      </c>
      <c r="CC48" s="28">
        <v>45847</v>
      </c>
      <c r="CE48" t="s">
        <v>385</v>
      </c>
    </row>
    <row r="49" spans="1:83" x14ac:dyDescent="0.3">
      <c r="A49" s="30" t="s">
        <v>294</v>
      </c>
      <c r="B49" s="30" t="s">
        <v>334</v>
      </c>
      <c r="C49" s="27" t="s">
        <v>317</v>
      </c>
      <c r="D49" s="27">
        <v>2019</v>
      </c>
      <c r="E49" s="30" t="s">
        <v>319</v>
      </c>
      <c r="F49" s="30" t="s">
        <v>320</v>
      </c>
      <c r="G49" s="27" t="s">
        <v>78</v>
      </c>
      <c r="H49" s="27">
        <v>1</v>
      </c>
      <c r="I49" s="27" t="s">
        <v>291</v>
      </c>
      <c r="J49" s="27" t="s">
        <v>79</v>
      </c>
      <c r="L49" s="27" t="s">
        <v>129</v>
      </c>
      <c r="M49" s="27" t="s">
        <v>382</v>
      </c>
      <c r="N49" s="27">
        <v>-0.15</v>
      </c>
      <c r="O49" s="27">
        <v>0.25</v>
      </c>
      <c r="P49" s="27">
        <f>N49/O49</f>
        <v>-0.6</v>
      </c>
      <c r="Q49" s="27" t="s">
        <v>313</v>
      </c>
      <c r="R49" s="27" t="s">
        <v>313</v>
      </c>
      <c r="S49" s="27" t="s">
        <v>313</v>
      </c>
      <c r="T49" s="27">
        <v>4443</v>
      </c>
      <c r="U49" s="27" t="s">
        <v>313</v>
      </c>
      <c r="V49" s="27">
        <f t="shared" si="12"/>
        <v>4443</v>
      </c>
      <c r="W49" s="27">
        <f>P49/(P49^2 + V49)^(1/2)</f>
        <v>-9.001098200974866E-3</v>
      </c>
      <c r="X49" s="27">
        <f t="shared" si="13"/>
        <v>1.5001830334958109E-2</v>
      </c>
      <c r="Y49" s="27">
        <f t="shared" si="14"/>
        <v>-9.001098200974866E-3</v>
      </c>
      <c r="Z49" s="27" t="s">
        <v>81</v>
      </c>
      <c r="AA49" s="32">
        <f t="shared" si="10"/>
        <v>-4.62E-3</v>
      </c>
      <c r="AB49" s="32">
        <f t="shared" si="11"/>
        <v>7.7000000000000002E-3</v>
      </c>
      <c r="AC49" s="32">
        <f>AA49</f>
        <v>-4.62E-3</v>
      </c>
      <c r="AD49" s="27" t="s">
        <v>159</v>
      </c>
      <c r="AE49" s="27" t="s">
        <v>297</v>
      </c>
      <c r="AF49" s="27">
        <v>30.8</v>
      </c>
      <c r="AG49" s="27">
        <v>13.83</v>
      </c>
      <c r="AH49" s="27">
        <v>9.52</v>
      </c>
      <c r="AI49" s="27">
        <v>80.8</v>
      </c>
      <c r="AJ49" s="27" t="s">
        <v>83</v>
      </c>
      <c r="AK49" s="27" t="s">
        <v>133</v>
      </c>
      <c r="AL49" s="27" t="s">
        <v>85</v>
      </c>
      <c r="AM49" s="27" t="s">
        <v>110</v>
      </c>
      <c r="AN49" s="27">
        <v>0</v>
      </c>
      <c r="AO49" s="27">
        <v>10</v>
      </c>
      <c r="AP49" s="27" t="s">
        <v>87</v>
      </c>
      <c r="AQ49" s="27" t="s">
        <v>88</v>
      </c>
      <c r="AR49" s="27" t="s">
        <v>89</v>
      </c>
      <c r="AS49" s="27" t="s">
        <v>114</v>
      </c>
      <c r="AT49" s="27" t="s">
        <v>292</v>
      </c>
      <c r="AU49" s="27">
        <v>112.4</v>
      </c>
      <c r="AV49" s="27" t="s">
        <v>313</v>
      </c>
      <c r="AW49" s="27" t="s">
        <v>313</v>
      </c>
      <c r="AX49" s="27" t="s">
        <v>313</v>
      </c>
      <c r="AY49" s="27" t="s">
        <v>91</v>
      </c>
      <c r="AZ49" s="27" t="s">
        <v>84</v>
      </c>
      <c r="BA49" s="27" t="s">
        <v>376</v>
      </c>
      <c r="BB49" s="27" t="s">
        <v>290</v>
      </c>
      <c r="BC49" s="27" t="s">
        <v>316</v>
      </c>
      <c r="BD49" s="27" t="s">
        <v>117</v>
      </c>
      <c r="BE49" s="27" t="s">
        <v>93</v>
      </c>
      <c r="BF49" s="27" t="s">
        <v>313</v>
      </c>
      <c r="BG49" s="27" t="s">
        <v>313</v>
      </c>
      <c r="BH49" s="28">
        <v>41883</v>
      </c>
      <c r="BI49" s="28">
        <v>42155</v>
      </c>
      <c r="BJ49" s="27" t="s">
        <v>94</v>
      </c>
      <c r="BK49" s="27" t="s">
        <v>95</v>
      </c>
      <c r="BL49" s="27" t="s">
        <v>140</v>
      </c>
      <c r="BM49" s="27">
        <v>1</v>
      </c>
      <c r="BN49" s="27">
        <v>1</v>
      </c>
      <c r="BO49" s="27" t="s">
        <v>304</v>
      </c>
      <c r="BP49" s="27" t="s">
        <v>315</v>
      </c>
      <c r="BQ49" s="27">
        <v>0</v>
      </c>
      <c r="BR49" s="27" t="s">
        <v>97</v>
      </c>
      <c r="BS49" s="27">
        <v>0</v>
      </c>
      <c r="BT49" s="27" t="s">
        <v>97</v>
      </c>
      <c r="BU49" s="27">
        <v>1</v>
      </c>
      <c r="BV49" s="27" t="s">
        <v>377</v>
      </c>
      <c r="BW49" s="27" t="s">
        <v>378</v>
      </c>
      <c r="BX49" s="27">
        <v>64</v>
      </c>
      <c r="BY49" s="27">
        <v>1</v>
      </c>
      <c r="BZ49" s="27" t="s">
        <v>99</v>
      </c>
      <c r="CA49" s="27" t="s">
        <v>100</v>
      </c>
      <c r="CB49" s="27" t="s">
        <v>101</v>
      </c>
      <c r="CC49" s="28">
        <v>45847</v>
      </c>
      <c r="CE49" t="s">
        <v>385</v>
      </c>
    </row>
    <row r="50" spans="1:83" x14ac:dyDescent="0.3">
      <c r="A50" s="30" t="s">
        <v>294</v>
      </c>
      <c r="B50" s="30" t="s">
        <v>335</v>
      </c>
      <c r="C50" s="27" t="s">
        <v>317</v>
      </c>
      <c r="D50" s="27">
        <v>2019</v>
      </c>
      <c r="E50" s="30" t="s">
        <v>319</v>
      </c>
      <c r="F50" s="30" t="s">
        <v>320</v>
      </c>
      <c r="G50" s="27" t="s">
        <v>78</v>
      </c>
      <c r="H50" s="27">
        <v>1</v>
      </c>
      <c r="I50" s="27" t="s">
        <v>291</v>
      </c>
      <c r="J50" s="27" t="s">
        <v>79</v>
      </c>
      <c r="L50" s="27" t="s">
        <v>129</v>
      </c>
      <c r="M50" s="27" t="s">
        <v>382</v>
      </c>
      <c r="N50" s="27">
        <v>-7.0000000000000007E-2</v>
      </c>
      <c r="O50" s="27">
        <v>0.26</v>
      </c>
      <c r="P50" s="27">
        <f>N50/O50</f>
        <v>-0.26923076923076927</v>
      </c>
      <c r="Q50" s="27" t="s">
        <v>313</v>
      </c>
      <c r="R50" s="27" t="s">
        <v>313</v>
      </c>
      <c r="S50" s="27" t="s">
        <v>313</v>
      </c>
      <c r="T50" s="27">
        <v>4443</v>
      </c>
      <c r="U50" s="27" t="s">
        <v>313</v>
      </c>
      <c r="V50" s="27">
        <f t="shared" si="12"/>
        <v>4443</v>
      </c>
      <c r="W50" s="27">
        <f>P50/(P50^2 + V50)^(1/2)</f>
        <v>-4.0390850008269778E-3</v>
      </c>
      <c r="X50" s="27">
        <f t="shared" si="13"/>
        <v>1.5002315717357344E-2</v>
      </c>
      <c r="Y50" s="27">
        <f t="shared" si="14"/>
        <v>-4.0390850008269778E-3</v>
      </c>
      <c r="Z50" s="27" t="s">
        <v>81</v>
      </c>
      <c r="AA50" s="32">
        <f t="shared" si="10"/>
        <v>-2.1560000000000004E-3</v>
      </c>
      <c r="AB50" s="32">
        <f t="shared" si="11"/>
        <v>8.0079999999999995E-3</v>
      </c>
      <c r="AC50" s="32">
        <f>AA50</f>
        <v>-2.1560000000000004E-3</v>
      </c>
      <c r="AD50" s="27" t="s">
        <v>159</v>
      </c>
      <c r="AE50" s="27" t="s">
        <v>297</v>
      </c>
      <c r="AF50" s="27">
        <v>30.8</v>
      </c>
      <c r="AG50" s="27">
        <v>13.83</v>
      </c>
      <c r="AH50" s="27">
        <v>9.52</v>
      </c>
      <c r="AI50" s="27">
        <v>80.8</v>
      </c>
      <c r="AJ50" s="27" t="s">
        <v>83</v>
      </c>
      <c r="AK50" s="27" t="s">
        <v>133</v>
      </c>
      <c r="AL50" s="27" t="s">
        <v>85</v>
      </c>
      <c r="AM50" s="27" t="s">
        <v>110</v>
      </c>
      <c r="AN50" s="27">
        <v>0</v>
      </c>
      <c r="AO50" s="27">
        <v>15</v>
      </c>
      <c r="AP50" s="27" t="s">
        <v>87</v>
      </c>
      <c r="AQ50" s="27" t="s">
        <v>88</v>
      </c>
      <c r="AR50" s="27" t="s">
        <v>89</v>
      </c>
      <c r="AS50" s="27" t="s">
        <v>114</v>
      </c>
      <c r="AT50" s="27" t="s">
        <v>292</v>
      </c>
      <c r="AU50" s="27">
        <v>112.4</v>
      </c>
      <c r="AV50" s="27" t="s">
        <v>313</v>
      </c>
      <c r="AW50" s="27" t="s">
        <v>313</v>
      </c>
      <c r="AX50" s="27" t="s">
        <v>313</v>
      </c>
      <c r="AY50" s="27" t="s">
        <v>91</v>
      </c>
      <c r="AZ50" s="27" t="s">
        <v>84</v>
      </c>
      <c r="BA50" s="27" t="s">
        <v>376</v>
      </c>
      <c r="BB50" s="27" t="s">
        <v>290</v>
      </c>
      <c r="BC50" s="27" t="s">
        <v>316</v>
      </c>
      <c r="BD50" s="27" t="s">
        <v>117</v>
      </c>
      <c r="BE50" s="27" t="s">
        <v>93</v>
      </c>
      <c r="BF50" s="27" t="s">
        <v>313</v>
      </c>
      <c r="BG50" s="27" t="s">
        <v>313</v>
      </c>
      <c r="BH50" s="28">
        <v>41883</v>
      </c>
      <c r="BI50" s="28">
        <v>42155</v>
      </c>
      <c r="BJ50" s="27" t="s">
        <v>94</v>
      </c>
      <c r="BK50" s="27" t="s">
        <v>95</v>
      </c>
      <c r="BL50" s="27" t="s">
        <v>140</v>
      </c>
      <c r="BM50" s="27">
        <v>1</v>
      </c>
      <c r="BN50" s="27">
        <v>1</v>
      </c>
      <c r="BO50" s="27" t="s">
        <v>304</v>
      </c>
      <c r="BP50" s="27" t="s">
        <v>315</v>
      </c>
      <c r="BQ50" s="27">
        <v>0</v>
      </c>
      <c r="BR50" s="27" t="s">
        <v>97</v>
      </c>
      <c r="BS50" s="27">
        <v>0</v>
      </c>
      <c r="BT50" s="27" t="s">
        <v>97</v>
      </c>
      <c r="BU50" s="27">
        <v>1</v>
      </c>
      <c r="BV50" s="27" t="s">
        <v>377</v>
      </c>
      <c r="BW50" s="27" t="s">
        <v>378</v>
      </c>
      <c r="BX50" s="27">
        <v>64</v>
      </c>
      <c r="BY50" s="27">
        <v>1</v>
      </c>
      <c r="BZ50" s="27" t="s">
        <v>99</v>
      </c>
      <c r="CA50" s="27" t="s">
        <v>100</v>
      </c>
      <c r="CB50" s="27" t="s">
        <v>101</v>
      </c>
      <c r="CC50" s="28">
        <v>45847</v>
      </c>
      <c r="CE50" t="s">
        <v>385</v>
      </c>
    </row>
    <row r="51" spans="1:83" x14ac:dyDescent="0.3">
      <c r="A51" s="30" t="s">
        <v>294</v>
      </c>
      <c r="B51" s="30" t="s">
        <v>336</v>
      </c>
      <c r="C51" s="27" t="s">
        <v>317</v>
      </c>
      <c r="D51" s="27">
        <v>2019</v>
      </c>
      <c r="E51" s="30" t="s">
        <v>319</v>
      </c>
      <c r="F51" s="30" t="s">
        <v>320</v>
      </c>
      <c r="G51" s="27" t="s">
        <v>78</v>
      </c>
      <c r="H51" s="27">
        <v>1</v>
      </c>
      <c r="I51" s="27" t="s">
        <v>291</v>
      </c>
      <c r="J51" s="27" t="s">
        <v>79</v>
      </c>
      <c r="L51" s="27" t="s">
        <v>129</v>
      </c>
      <c r="M51" s="27" t="s">
        <v>382</v>
      </c>
      <c r="N51" s="27">
        <v>-0.03</v>
      </c>
      <c r="O51" s="27">
        <v>0.34</v>
      </c>
      <c r="P51" s="27">
        <f>N51/O51</f>
        <v>-8.8235294117647051E-2</v>
      </c>
      <c r="Q51" s="27" t="s">
        <v>313</v>
      </c>
      <c r="R51" s="27" t="s">
        <v>313</v>
      </c>
      <c r="S51" s="27" t="s">
        <v>313</v>
      </c>
      <c r="T51" s="27">
        <v>4443</v>
      </c>
      <c r="U51" s="27" t="s">
        <v>313</v>
      </c>
      <c r="V51" s="27">
        <f t="shared" si="12"/>
        <v>4443</v>
      </c>
      <c r="W51" s="27">
        <f>P51/(P51^2 + V51)^(1/2)</f>
        <v>-1.3237433779355039E-3</v>
      </c>
      <c r="X51" s="27">
        <f t="shared" si="13"/>
        <v>1.5002424949935714E-2</v>
      </c>
      <c r="Y51" s="27">
        <f t="shared" si="14"/>
        <v>-1.3237433779355039E-3</v>
      </c>
      <c r="Z51" s="27" t="s">
        <v>81</v>
      </c>
      <c r="AA51" s="32">
        <f t="shared" si="10"/>
        <v>-9.2399999999999991E-4</v>
      </c>
      <c r="AB51" s="32">
        <f t="shared" si="11"/>
        <v>1.0472E-2</v>
      </c>
      <c r="AC51" s="32">
        <f>AA51</f>
        <v>-9.2399999999999991E-4</v>
      </c>
      <c r="AD51" s="27" t="s">
        <v>159</v>
      </c>
      <c r="AE51" s="27" t="s">
        <v>297</v>
      </c>
      <c r="AF51" s="27">
        <v>30.8</v>
      </c>
      <c r="AG51" s="27">
        <v>13.83</v>
      </c>
      <c r="AH51" s="27">
        <v>9.52</v>
      </c>
      <c r="AI51" s="27">
        <v>80.8</v>
      </c>
      <c r="AJ51" s="27" t="s">
        <v>83</v>
      </c>
      <c r="AK51" s="27" t="s">
        <v>133</v>
      </c>
      <c r="AL51" s="27" t="s">
        <v>85</v>
      </c>
      <c r="AM51" s="27" t="s">
        <v>110</v>
      </c>
      <c r="AN51" s="27">
        <v>0</v>
      </c>
      <c r="AO51" s="27">
        <v>20</v>
      </c>
      <c r="AP51" s="27" t="s">
        <v>87</v>
      </c>
      <c r="AQ51" s="27" t="s">
        <v>88</v>
      </c>
      <c r="AR51" s="27" t="s">
        <v>89</v>
      </c>
      <c r="AS51" s="27" t="s">
        <v>114</v>
      </c>
      <c r="AT51" s="27" t="s">
        <v>292</v>
      </c>
      <c r="AU51" s="27">
        <v>112.4</v>
      </c>
      <c r="AV51" s="27" t="s">
        <v>313</v>
      </c>
      <c r="AW51" s="27" t="s">
        <v>313</v>
      </c>
      <c r="AX51" s="27" t="s">
        <v>313</v>
      </c>
      <c r="AY51" s="27" t="s">
        <v>91</v>
      </c>
      <c r="AZ51" s="27" t="s">
        <v>84</v>
      </c>
      <c r="BA51" s="27" t="s">
        <v>376</v>
      </c>
      <c r="BB51" s="27" t="s">
        <v>290</v>
      </c>
      <c r="BC51" s="27" t="s">
        <v>316</v>
      </c>
      <c r="BD51" s="27" t="s">
        <v>117</v>
      </c>
      <c r="BE51" s="27" t="s">
        <v>93</v>
      </c>
      <c r="BF51" s="27" t="s">
        <v>313</v>
      </c>
      <c r="BG51" s="27" t="s">
        <v>313</v>
      </c>
      <c r="BH51" s="28">
        <v>41883</v>
      </c>
      <c r="BI51" s="28">
        <v>42155</v>
      </c>
      <c r="BJ51" s="27" t="s">
        <v>94</v>
      </c>
      <c r="BK51" s="27" t="s">
        <v>95</v>
      </c>
      <c r="BL51" s="27" t="s">
        <v>140</v>
      </c>
      <c r="BM51" s="27">
        <v>1</v>
      </c>
      <c r="BN51" s="27">
        <v>1</v>
      </c>
      <c r="BO51" s="27" t="s">
        <v>304</v>
      </c>
      <c r="BP51" s="27" t="s">
        <v>315</v>
      </c>
      <c r="BQ51" s="27">
        <v>0</v>
      </c>
      <c r="BR51" s="27" t="s">
        <v>97</v>
      </c>
      <c r="BS51" s="27">
        <v>0</v>
      </c>
      <c r="BT51" s="27" t="s">
        <v>97</v>
      </c>
      <c r="BU51" s="27">
        <v>1</v>
      </c>
      <c r="BV51" s="27" t="s">
        <v>377</v>
      </c>
      <c r="BW51" s="27" t="s">
        <v>378</v>
      </c>
      <c r="BX51" s="27">
        <v>64</v>
      </c>
      <c r="BY51" s="27">
        <v>1</v>
      </c>
      <c r="BZ51" s="27" t="s">
        <v>99</v>
      </c>
      <c r="CA51" s="27" t="s">
        <v>100</v>
      </c>
      <c r="CB51" s="27" t="s">
        <v>101</v>
      </c>
      <c r="CC51" s="28">
        <v>45847</v>
      </c>
      <c r="CE51" t="s">
        <v>385</v>
      </c>
    </row>
    <row r="52" spans="1:83" x14ac:dyDescent="0.3">
      <c r="A52" s="30" t="s">
        <v>294</v>
      </c>
      <c r="B52" s="30" t="s">
        <v>338</v>
      </c>
      <c r="C52" s="27" t="s">
        <v>317</v>
      </c>
      <c r="D52" s="27">
        <v>2019</v>
      </c>
      <c r="E52" s="30" t="s">
        <v>319</v>
      </c>
      <c r="F52" s="30" t="s">
        <v>320</v>
      </c>
      <c r="G52" s="27" t="s">
        <v>78</v>
      </c>
      <c r="H52" s="27">
        <v>1</v>
      </c>
      <c r="I52" s="27" t="s">
        <v>291</v>
      </c>
      <c r="J52" s="27" t="s">
        <v>79</v>
      </c>
      <c r="L52" s="27" t="s">
        <v>129</v>
      </c>
      <c r="M52" s="27" t="s">
        <v>382</v>
      </c>
      <c r="N52" s="27">
        <v>-1.32</v>
      </c>
      <c r="O52" s="27">
        <v>0.53</v>
      </c>
      <c r="P52" s="27">
        <f>N52/O52</f>
        <v>-2.4905660377358489</v>
      </c>
      <c r="Q52" s="27" t="s">
        <v>313</v>
      </c>
      <c r="R52" s="27" t="s">
        <v>313</v>
      </c>
      <c r="S52" s="27" t="s">
        <v>313</v>
      </c>
      <c r="T52" s="27">
        <v>4443</v>
      </c>
      <c r="U52" s="27" t="s">
        <v>313</v>
      </c>
      <c r="V52" s="27">
        <f t="shared" si="12"/>
        <v>4443</v>
      </c>
      <c r="W52" s="27">
        <f>P52/(P52^2 + V52)^(1/2)</f>
        <v>-3.7338507549515849E-2</v>
      </c>
      <c r="X52" s="27">
        <f t="shared" si="13"/>
        <v>1.4991976516093485E-2</v>
      </c>
      <c r="Y52" s="27">
        <f t="shared" si="14"/>
        <v>-3.7338507549515849E-2</v>
      </c>
      <c r="Z52" s="27" t="s">
        <v>81</v>
      </c>
      <c r="AA52" s="32">
        <f t="shared" si="10"/>
        <v>-4.0655999999999998E-2</v>
      </c>
      <c r="AB52" s="32">
        <f t="shared" si="11"/>
        <v>1.6324000000000002E-2</v>
      </c>
      <c r="AC52" s="32">
        <f>AA52</f>
        <v>-4.0655999999999998E-2</v>
      </c>
      <c r="AD52" s="27" t="s">
        <v>159</v>
      </c>
      <c r="AE52" s="27" t="s">
        <v>297</v>
      </c>
      <c r="AF52" s="27">
        <v>30.8</v>
      </c>
      <c r="AG52" s="27">
        <v>13.83</v>
      </c>
      <c r="AH52" s="27">
        <v>9.52</v>
      </c>
      <c r="AI52" s="27">
        <v>80.8</v>
      </c>
      <c r="AJ52" s="27" t="s">
        <v>83</v>
      </c>
      <c r="AK52" s="27" t="s">
        <v>133</v>
      </c>
      <c r="AL52" s="27" t="s">
        <v>85</v>
      </c>
      <c r="AM52" s="27" t="s">
        <v>110</v>
      </c>
      <c r="AN52" s="27">
        <v>0</v>
      </c>
      <c r="AO52" s="27">
        <v>25</v>
      </c>
      <c r="AP52" s="27" t="s">
        <v>87</v>
      </c>
      <c r="AQ52" s="27" t="s">
        <v>88</v>
      </c>
      <c r="AR52" s="27" t="s">
        <v>89</v>
      </c>
      <c r="AS52" s="27" t="s">
        <v>114</v>
      </c>
      <c r="AT52" s="27" t="s">
        <v>292</v>
      </c>
      <c r="AU52" s="27">
        <v>112.4</v>
      </c>
      <c r="AV52" s="27" t="s">
        <v>313</v>
      </c>
      <c r="AW52" s="27" t="s">
        <v>313</v>
      </c>
      <c r="AX52" s="27" t="s">
        <v>313</v>
      </c>
      <c r="AY52" s="27" t="s">
        <v>91</v>
      </c>
      <c r="AZ52" s="27" t="s">
        <v>84</v>
      </c>
      <c r="BA52" s="27" t="s">
        <v>376</v>
      </c>
      <c r="BB52" s="27" t="s">
        <v>290</v>
      </c>
      <c r="BC52" s="27" t="s">
        <v>316</v>
      </c>
      <c r="BD52" s="27" t="s">
        <v>117</v>
      </c>
      <c r="BE52" s="27" t="s">
        <v>93</v>
      </c>
      <c r="BF52" s="27" t="s">
        <v>313</v>
      </c>
      <c r="BG52" s="27" t="s">
        <v>313</v>
      </c>
      <c r="BH52" s="28">
        <v>41883</v>
      </c>
      <c r="BI52" s="28">
        <v>42155</v>
      </c>
      <c r="BJ52" s="27" t="s">
        <v>94</v>
      </c>
      <c r="BK52" s="27" t="s">
        <v>95</v>
      </c>
      <c r="BL52" s="27" t="s">
        <v>140</v>
      </c>
      <c r="BM52" s="27">
        <v>1</v>
      </c>
      <c r="BN52" s="27">
        <v>1</v>
      </c>
      <c r="BO52" s="27" t="s">
        <v>304</v>
      </c>
      <c r="BP52" s="27" t="s">
        <v>315</v>
      </c>
      <c r="BQ52" s="27">
        <v>0</v>
      </c>
      <c r="BR52" s="27" t="s">
        <v>97</v>
      </c>
      <c r="BS52" s="27">
        <v>0</v>
      </c>
      <c r="BT52" s="27" t="s">
        <v>97</v>
      </c>
      <c r="BU52" s="27">
        <v>1</v>
      </c>
      <c r="BV52" s="27" t="s">
        <v>377</v>
      </c>
      <c r="BW52" s="27" t="s">
        <v>378</v>
      </c>
      <c r="BX52" s="27">
        <v>64</v>
      </c>
      <c r="BY52" s="27">
        <v>1</v>
      </c>
      <c r="BZ52" s="27" t="s">
        <v>99</v>
      </c>
      <c r="CA52" s="27" t="s">
        <v>100</v>
      </c>
      <c r="CB52" s="27" t="s">
        <v>101</v>
      </c>
      <c r="CC52" s="28">
        <v>45847</v>
      </c>
      <c r="CE52" t="s">
        <v>385</v>
      </c>
    </row>
    <row r="53" spans="1:83" x14ac:dyDescent="0.3">
      <c r="A53" s="30" t="s">
        <v>294</v>
      </c>
      <c r="B53" s="30" t="s">
        <v>337</v>
      </c>
      <c r="C53" s="27" t="s">
        <v>317</v>
      </c>
      <c r="D53" s="27">
        <v>2019</v>
      </c>
      <c r="E53" s="30" t="s">
        <v>319</v>
      </c>
      <c r="F53" s="30" t="s">
        <v>320</v>
      </c>
      <c r="G53" s="27" t="s">
        <v>78</v>
      </c>
      <c r="H53" s="27">
        <v>1</v>
      </c>
      <c r="I53" s="27" t="s">
        <v>291</v>
      </c>
      <c r="J53" s="27" t="s">
        <v>79</v>
      </c>
      <c r="L53" s="27" t="s">
        <v>129</v>
      </c>
      <c r="M53" s="27" t="s">
        <v>382</v>
      </c>
      <c r="N53" s="27">
        <v>-1.29</v>
      </c>
      <c r="O53" s="27">
        <v>0.5</v>
      </c>
      <c r="P53" s="27">
        <f>N53/O53</f>
        <v>-2.58</v>
      </c>
      <c r="Q53" s="27" t="s">
        <v>313</v>
      </c>
      <c r="R53" s="27" t="s">
        <v>313</v>
      </c>
      <c r="S53" s="27" t="s">
        <v>313</v>
      </c>
      <c r="T53" s="27">
        <v>4443</v>
      </c>
      <c r="U53" s="27" t="s">
        <v>313</v>
      </c>
      <c r="V53" s="27">
        <f t="shared" si="12"/>
        <v>4443</v>
      </c>
      <c r="W53" s="27">
        <f>P53/(P53^2 + V53)^(1/2)</f>
        <v>-3.8677328386633222E-2</v>
      </c>
      <c r="X53" s="27">
        <f t="shared" si="13"/>
        <v>1.4991212552958613E-2</v>
      </c>
      <c r="Y53" s="27">
        <f t="shared" si="14"/>
        <v>-3.8677328386633222E-2</v>
      </c>
      <c r="Z53" s="27" t="s">
        <v>81</v>
      </c>
      <c r="AA53" s="32">
        <f t="shared" si="10"/>
        <v>-3.9732000000000003E-2</v>
      </c>
      <c r="AB53" s="32">
        <f t="shared" si="11"/>
        <v>1.54E-2</v>
      </c>
      <c r="AC53" s="32">
        <f>AA53</f>
        <v>-3.9732000000000003E-2</v>
      </c>
      <c r="AD53" s="27" t="s">
        <v>159</v>
      </c>
      <c r="AE53" s="27" t="s">
        <v>297</v>
      </c>
      <c r="AF53" s="27">
        <v>30.8</v>
      </c>
      <c r="AG53" s="27">
        <v>13.83</v>
      </c>
      <c r="AH53" s="27">
        <v>9.52</v>
      </c>
      <c r="AI53" s="27">
        <v>80.8</v>
      </c>
      <c r="AJ53" s="27" t="s">
        <v>83</v>
      </c>
      <c r="AK53" s="27" t="s">
        <v>133</v>
      </c>
      <c r="AL53" s="27" t="s">
        <v>85</v>
      </c>
      <c r="AM53" s="27" t="s">
        <v>110</v>
      </c>
      <c r="AN53" s="27">
        <v>0</v>
      </c>
      <c r="AO53" s="27">
        <v>30</v>
      </c>
      <c r="AP53" s="27" t="s">
        <v>87</v>
      </c>
      <c r="AQ53" s="27" t="s">
        <v>88</v>
      </c>
      <c r="AR53" s="27" t="s">
        <v>89</v>
      </c>
      <c r="AS53" s="27" t="s">
        <v>114</v>
      </c>
      <c r="AT53" s="27" t="s">
        <v>292</v>
      </c>
      <c r="AU53" s="27">
        <v>112.4</v>
      </c>
      <c r="AV53" s="27" t="s">
        <v>313</v>
      </c>
      <c r="AW53" s="27" t="s">
        <v>313</v>
      </c>
      <c r="AX53" s="27" t="s">
        <v>313</v>
      </c>
      <c r="AY53" s="27" t="s">
        <v>91</v>
      </c>
      <c r="AZ53" s="27" t="s">
        <v>84</v>
      </c>
      <c r="BA53" s="27" t="s">
        <v>376</v>
      </c>
      <c r="BB53" s="27" t="s">
        <v>290</v>
      </c>
      <c r="BC53" s="27" t="s">
        <v>316</v>
      </c>
      <c r="BD53" s="27" t="s">
        <v>117</v>
      </c>
      <c r="BE53" s="27" t="s">
        <v>93</v>
      </c>
      <c r="BF53" s="27" t="s">
        <v>313</v>
      </c>
      <c r="BG53" s="27" t="s">
        <v>313</v>
      </c>
      <c r="BH53" s="28">
        <v>41883</v>
      </c>
      <c r="BI53" s="28">
        <v>42155</v>
      </c>
      <c r="BJ53" s="27" t="s">
        <v>94</v>
      </c>
      <c r="BK53" s="27" t="s">
        <v>95</v>
      </c>
      <c r="BL53" s="27" t="s">
        <v>140</v>
      </c>
      <c r="BM53" s="27">
        <v>1</v>
      </c>
      <c r="BN53" s="27">
        <v>1</v>
      </c>
      <c r="BO53" s="27" t="s">
        <v>304</v>
      </c>
      <c r="BP53" s="27" t="s">
        <v>315</v>
      </c>
      <c r="BQ53" s="27">
        <v>0</v>
      </c>
      <c r="BR53" s="27" t="s">
        <v>97</v>
      </c>
      <c r="BS53" s="27">
        <v>0</v>
      </c>
      <c r="BT53" s="27" t="s">
        <v>97</v>
      </c>
      <c r="BU53" s="27">
        <v>1</v>
      </c>
      <c r="BV53" s="27" t="s">
        <v>377</v>
      </c>
      <c r="BW53" s="27" t="s">
        <v>378</v>
      </c>
      <c r="BX53" s="27">
        <v>64</v>
      </c>
      <c r="BY53" s="27">
        <v>1</v>
      </c>
      <c r="BZ53" s="27" t="s">
        <v>99</v>
      </c>
      <c r="CA53" s="27" t="s">
        <v>100</v>
      </c>
      <c r="CB53" s="27" t="s">
        <v>101</v>
      </c>
      <c r="CC53" s="28">
        <v>45847</v>
      </c>
      <c r="CE53" t="s">
        <v>385</v>
      </c>
    </row>
    <row r="54" spans="1:83" x14ac:dyDescent="0.3">
      <c r="A54" s="30" t="s">
        <v>294</v>
      </c>
      <c r="B54" s="30" t="s">
        <v>339</v>
      </c>
      <c r="C54" s="27" t="s">
        <v>317</v>
      </c>
      <c r="D54" s="27">
        <v>2019</v>
      </c>
      <c r="E54" s="30" t="s">
        <v>319</v>
      </c>
      <c r="F54" s="30" t="s">
        <v>320</v>
      </c>
      <c r="G54" s="27" t="s">
        <v>78</v>
      </c>
      <c r="H54" s="27">
        <v>1</v>
      </c>
      <c r="I54" s="27" t="s">
        <v>291</v>
      </c>
      <c r="J54" s="27" t="s">
        <v>79</v>
      </c>
      <c r="L54" s="27" t="s">
        <v>129</v>
      </c>
      <c r="M54" s="27" t="s">
        <v>382</v>
      </c>
      <c r="N54" s="27">
        <v>-0.1</v>
      </c>
      <c r="O54" s="27">
        <v>0.13</v>
      </c>
      <c r="P54" s="27">
        <f>N54/O54</f>
        <v>-0.76923076923076927</v>
      </c>
      <c r="Q54" s="27" t="s">
        <v>313</v>
      </c>
      <c r="R54" s="27" t="s">
        <v>313</v>
      </c>
      <c r="S54" s="27" t="s">
        <v>313</v>
      </c>
      <c r="T54" s="27">
        <v>5054</v>
      </c>
      <c r="U54" s="27" t="s">
        <v>313</v>
      </c>
      <c r="V54" s="27">
        <f t="shared" si="12"/>
        <v>5054</v>
      </c>
      <c r="W54" s="27">
        <f>P54/(P54^2 + V54)^(1/2)</f>
        <v>-1.0819659837276056E-2</v>
      </c>
      <c r="X54" s="27">
        <f t="shared" si="13"/>
        <v>1.406555778845887E-2</v>
      </c>
      <c r="Y54" s="27">
        <f t="shared" si="14"/>
        <v>-1.0819659837276056E-2</v>
      </c>
      <c r="Z54" s="27" t="s">
        <v>81</v>
      </c>
      <c r="AA54" s="32">
        <f t="shared" si="10"/>
        <v>-9.9060000000000016E-3</v>
      </c>
      <c r="AB54" s="32">
        <f t="shared" si="11"/>
        <v>1.28778E-2</v>
      </c>
      <c r="AC54" s="32">
        <f>AA54</f>
        <v>-9.9060000000000016E-3</v>
      </c>
      <c r="AD54" s="27" t="s">
        <v>82</v>
      </c>
      <c r="AE54" s="27" t="s">
        <v>297</v>
      </c>
      <c r="AF54" s="27">
        <v>99.06</v>
      </c>
      <c r="AG54" s="27">
        <v>49.79</v>
      </c>
      <c r="AH54" s="27">
        <v>23.55</v>
      </c>
      <c r="AI54" s="27">
        <v>342.58</v>
      </c>
      <c r="AJ54" s="27" t="s">
        <v>83</v>
      </c>
      <c r="AK54" s="27" t="s">
        <v>133</v>
      </c>
      <c r="AL54" s="27" t="s">
        <v>85</v>
      </c>
      <c r="AM54" s="27" t="s">
        <v>110</v>
      </c>
      <c r="AN54" s="27">
        <v>0</v>
      </c>
      <c r="AO54" s="27">
        <v>5</v>
      </c>
      <c r="AP54" s="27" t="s">
        <v>87</v>
      </c>
      <c r="AQ54" s="27" t="s">
        <v>88</v>
      </c>
      <c r="AR54" s="27" t="s">
        <v>89</v>
      </c>
      <c r="AS54" s="27" t="s">
        <v>114</v>
      </c>
      <c r="AT54" s="27" t="s">
        <v>293</v>
      </c>
      <c r="AU54" s="27">
        <v>119.6</v>
      </c>
      <c r="AV54" s="27" t="s">
        <v>313</v>
      </c>
      <c r="AW54" s="27" t="s">
        <v>313</v>
      </c>
      <c r="AX54" s="27" t="s">
        <v>313</v>
      </c>
      <c r="AY54" s="27" t="s">
        <v>91</v>
      </c>
      <c r="AZ54" s="27" t="s">
        <v>84</v>
      </c>
      <c r="BA54" s="27" t="s">
        <v>376</v>
      </c>
      <c r="BB54" s="27" t="s">
        <v>290</v>
      </c>
      <c r="BC54" s="27" t="s">
        <v>316</v>
      </c>
      <c r="BD54" s="27" t="s">
        <v>117</v>
      </c>
      <c r="BE54" s="27" t="s">
        <v>93</v>
      </c>
      <c r="BF54" s="27" t="s">
        <v>313</v>
      </c>
      <c r="BG54" s="27" t="s">
        <v>313</v>
      </c>
      <c r="BH54" s="28">
        <v>41730</v>
      </c>
      <c r="BI54" s="28">
        <v>42155</v>
      </c>
      <c r="BJ54" s="27" t="s">
        <v>94</v>
      </c>
      <c r="BK54" s="27" t="s">
        <v>95</v>
      </c>
      <c r="BL54" s="27" t="s">
        <v>140</v>
      </c>
      <c r="BM54" s="27">
        <v>1</v>
      </c>
      <c r="BN54" s="27">
        <v>1</v>
      </c>
      <c r="BO54" s="27" t="s">
        <v>304</v>
      </c>
      <c r="BP54" s="27" t="s">
        <v>315</v>
      </c>
      <c r="BQ54" s="27">
        <v>0</v>
      </c>
      <c r="BR54" s="27" t="s">
        <v>97</v>
      </c>
      <c r="BS54" s="27">
        <v>0</v>
      </c>
      <c r="BT54" s="27" t="s">
        <v>97</v>
      </c>
      <c r="BU54" s="27">
        <v>1</v>
      </c>
      <c r="BV54" s="27" t="s">
        <v>377</v>
      </c>
      <c r="BW54" s="27" t="s">
        <v>378</v>
      </c>
      <c r="BX54" s="27">
        <v>64</v>
      </c>
      <c r="BY54" s="27">
        <v>1</v>
      </c>
      <c r="BZ54" s="27" t="s">
        <v>99</v>
      </c>
      <c r="CA54" s="27" t="s">
        <v>100</v>
      </c>
      <c r="CB54" s="27" t="s">
        <v>101</v>
      </c>
      <c r="CC54" s="28">
        <v>45847</v>
      </c>
      <c r="CE54" t="s">
        <v>385</v>
      </c>
    </row>
    <row r="55" spans="1:83" x14ac:dyDescent="0.3">
      <c r="A55" s="30" t="s">
        <v>294</v>
      </c>
      <c r="B55" s="30" t="s">
        <v>340</v>
      </c>
      <c r="C55" s="27" t="s">
        <v>317</v>
      </c>
      <c r="D55" s="27">
        <v>2019</v>
      </c>
      <c r="E55" s="30" t="s">
        <v>319</v>
      </c>
      <c r="F55" s="30" t="s">
        <v>320</v>
      </c>
      <c r="G55" s="27" t="s">
        <v>78</v>
      </c>
      <c r="H55" s="27">
        <v>1</v>
      </c>
      <c r="I55" s="27" t="s">
        <v>291</v>
      </c>
      <c r="J55" s="27" t="s">
        <v>79</v>
      </c>
      <c r="L55" s="27" t="s">
        <v>129</v>
      </c>
      <c r="M55" s="27" t="s">
        <v>382</v>
      </c>
      <c r="N55" s="27">
        <v>-0.2</v>
      </c>
      <c r="O55" s="27">
        <v>0.17</v>
      </c>
      <c r="P55" s="27">
        <f>N55/O55</f>
        <v>-1.1764705882352942</v>
      </c>
      <c r="Q55" s="27" t="s">
        <v>313</v>
      </c>
      <c r="R55" s="27" t="s">
        <v>313</v>
      </c>
      <c r="S55" s="27" t="s">
        <v>313</v>
      </c>
      <c r="T55" s="27">
        <v>5054</v>
      </c>
      <c r="U55" s="27" t="s">
        <v>313</v>
      </c>
      <c r="V55" s="27">
        <f t="shared" si="12"/>
        <v>5054</v>
      </c>
      <c r="W55" s="27">
        <f>P55/(P55^2 + V55)^(1/2)</f>
        <v>-1.6546418172637481E-2</v>
      </c>
      <c r="X55" s="27">
        <f t="shared" si="13"/>
        <v>1.4064455446741857E-2</v>
      </c>
      <c r="Y55" s="27">
        <f t="shared" si="14"/>
        <v>-1.6546418172637481E-2</v>
      </c>
      <c r="Z55" s="27" t="s">
        <v>81</v>
      </c>
      <c r="AA55" s="32">
        <f t="shared" si="10"/>
        <v>-1.9812000000000003E-2</v>
      </c>
      <c r="AB55" s="32">
        <f t="shared" si="11"/>
        <v>1.6840200000000003E-2</v>
      </c>
      <c r="AC55" s="32">
        <f>AA55</f>
        <v>-1.9812000000000003E-2</v>
      </c>
      <c r="AD55" s="27" t="s">
        <v>82</v>
      </c>
      <c r="AE55" s="27" t="s">
        <v>297</v>
      </c>
      <c r="AF55" s="27">
        <v>99.06</v>
      </c>
      <c r="AG55" s="27">
        <v>49.79</v>
      </c>
      <c r="AH55" s="27">
        <v>23.55</v>
      </c>
      <c r="AI55" s="27">
        <v>342.58</v>
      </c>
      <c r="AJ55" s="27" t="s">
        <v>83</v>
      </c>
      <c r="AK55" s="27" t="s">
        <v>133</v>
      </c>
      <c r="AL55" s="27" t="s">
        <v>85</v>
      </c>
      <c r="AM55" s="27" t="s">
        <v>110</v>
      </c>
      <c r="AN55" s="27">
        <v>0</v>
      </c>
      <c r="AO55" s="27">
        <v>10</v>
      </c>
      <c r="AP55" s="27" t="s">
        <v>87</v>
      </c>
      <c r="AQ55" s="27" t="s">
        <v>88</v>
      </c>
      <c r="AR55" s="27" t="s">
        <v>89</v>
      </c>
      <c r="AS55" s="27" t="s">
        <v>114</v>
      </c>
      <c r="AT55" s="27" t="s">
        <v>293</v>
      </c>
      <c r="AU55" s="27">
        <v>119.6</v>
      </c>
      <c r="AV55" s="27" t="s">
        <v>313</v>
      </c>
      <c r="AW55" s="27" t="s">
        <v>313</v>
      </c>
      <c r="AX55" s="27" t="s">
        <v>313</v>
      </c>
      <c r="AY55" s="27" t="s">
        <v>91</v>
      </c>
      <c r="AZ55" s="27" t="s">
        <v>84</v>
      </c>
      <c r="BA55" s="27" t="s">
        <v>376</v>
      </c>
      <c r="BB55" s="27" t="s">
        <v>290</v>
      </c>
      <c r="BC55" s="27" t="s">
        <v>316</v>
      </c>
      <c r="BD55" s="27" t="s">
        <v>117</v>
      </c>
      <c r="BE55" s="27" t="s">
        <v>93</v>
      </c>
      <c r="BF55" s="27" t="s">
        <v>313</v>
      </c>
      <c r="BG55" s="27" t="s">
        <v>313</v>
      </c>
      <c r="BH55" s="28">
        <v>41730</v>
      </c>
      <c r="BI55" s="28">
        <v>42155</v>
      </c>
      <c r="BJ55" s="27" t="s">
        <v>94</v>
      </c>
      <c r="BK55" s="27" t="s">
        <v>95</v>
      </c>
      <c r="BL55" s="27" t="s">
        <v>140</v>
      </c>
      <c r="BM55" s="27">
        <v>1</v>
      </c>
      <c r="BN55" s="27">
        <v>1</v>
      </c>
      <c r="BO55" s="27" t="s">
        <v>304</v>
      </c>
      <c r="BP55" s="27" t="s">
        <v>315</v>
      </c>
      <c r="BQ55" s="27">
        <v>0</v>
      </c>
      <c r="BR55" s="27" t="s">
        <v>97</v>
      </c>
      <c r="BS55" s="27">
        <v>0</v>
      </c>
      <c r="BT55" s="27" t="s">
        <v>97</v>
      </c>
      <c r="BU55" s="27">
        <v>1</v>
      </c>
      <c r="BV55" s="27" t="s">
        <v>377</v>
      </c>
      <c r="BW55" s="27" t="s">
        <v>378</v>
      </c>
      <c r="BX55" s="27">
        <v>64</v>
      </c>
      <c r="BY55" s="27">
        <v>1</v>
      </c>
      <c r="BZ55" s="27" t="s">
        <v>99</v>
      </c>
      <c r="CA55" s="27" t="s">
        <v>100</v>
      </c>
      <c r="CB55" s="27" t="s">
        <v>101</v>
      </c>
      <c r="CC55" s="28">
        <v>45847</v>
      </c>
      <c r="CE55" t="s">
        <v>385</v>
      </c>
    </row>
    <row r="56" spans="1:83" x14ac:dyDescent="0.3">
      <c r="A56" s="30" t="s">
        <v>294</v>
      </c>
      <c r="B56" s="30" t="s">
        <v>341</v>
      </c>
      <c r="C56" s="27" t="s">
        <v>317</v>
      </c>
      <c r="D56" s="27">
        <v>2019</v>
      </c>
      <c r="E56" s="30" t="s">
        <v>319</v>
      </c>
      <c r="F56" s="30" t="s">
        <v>320</v>
      </c>
      <c r="G56" s="27" t="s">
        <v>78</v>
      </c>
      <c r="H56" s="27">
        <v>1</v>
      </c>
      <c r="I56" s="27" t="s">
        <v>291</v>
      </c>
      <c r="J56" s="27" t="s">
        <v>79</v>
      </c>
      <c r="L56" s="27" t="s">
        <v>129</v>
      </c>
      <c r="M56" s="27" t="s">
        <v>382</v>
      </c>
      <c r="N56" s="27">
        <v>-0.14000000000000001</v>
      </c>
      <c r="O56" s="27">
        <v>0.19</v>
      </c>
      <c r="P56" s="27">
        <f>N56/O56</f>
        <v>-0.73684210526315796</v>
      </c>
      <c r="Q56" s="27" t="s">
        <v>313</v>
      </c>
      <c r="R56" s="27" t="s">
        <v>313</v>
      </c>
      <c r="S56" s="27" t="s">
        <v>313</v>
      </c>
      <c r="T56" s="27">
        <v>5054</v>
      </c>
      <c r="U56" s="27" t="s">
        <v>313</v>
      </c>
      <c r="V56" s="27">
        <f t="shared" si="12"/>
        <v>5054</v>
      </c>
      <c r="W56" s="27">
        <f>P56/(P56^2 + V56)^(1/2)</f>
        <v>-1.0364145222620772E-2</v>
      </c>
      <c r="X56" s="27">
        <f t="shared" si="13"/>
        <v>1.4065625659271046E-2</v>
      </c>
      <c r="Y56" s="27">
        <f t="shared" si="14"/>
        <v>-1.0364145222620772E-2</v>
      </c>
      <c r="Z56" s="27" t="s">
        <v>81</v>
      </c>
      <c r="AA56" s="32">
        <f t="shared" si="10"/>
        <v>-1.3868400000000003E-2</v>
      </c>
      <c r="AB56" s="32">
        <f t="shared" si="11"/>
        <v>1.8821400000000002E-2</v>
      </c>
      <c r="AC56" s="32">
        <f>AA56</f>
        <v>-1.3868400000000003E-2</v>
      </c>
      <c r="AD56" s="27" t="s">
        <v>82</v>
      </c>
      <c r="AE56" s="27" t="s">
        <v>297</v>
      </c>
      <c r="AF56" s="27">
        <v>99.06</v>
      </c>
      <c r="AG56" s="27">
        <v>49.79</v>
      </c>
      <c r="AH56" s="27">
        <v>23.55</v>
      </c>
      <c r="AI56" s="27">
        <v>342.58</v>
      </c>
      <c r="AJ56" s="27" t="s">
        <v>83</v>
      </c>
      <c r="AK56" s="27" t="s">
        <v>133</v>
      </c>
      <c r="AL56" s="27" t="s">
        <v>85</v>
      </c>
      <c r="AM56" s="27" t="s">
        <v>110</v>
      </c>
      <c r="AN56" s="27">
        <v>0</v>
      </c>
      <c r="AO56" s="27">
        <v>15</v>
      </c>
      <c r="AP56" s="27" t="s">
        <v>87</v>
      </c>
      <c r="AQ56" s="27" t="s">
        <v>88</v>
      </c>
      <c r="AR56" s="27" t="s">
        <v>89</v>
      </c>
      <c r="AS56" s="27" t="s">
        <v>114</v>
      </c>
      <c r="AT56" s="27" t="s">
        <v>293</v>
      </c>
      <c r="AU56" s="27">
        <v>119.6</v>
      </c>
      <c r="AV56" s="27" t="s">
        <v>313</v>
      </c>
      <c r="AW56" s="27" t="s">
        <v>313</v>
      </c>
      <c r="AX56" s="27" t="s">
        <v>313</v>
      </c>
      <c r="AY56" s="27" t="s">
        <v>91</v>
      </c>
      <c r="AZ56" s="27" t="s">
        <v>84</v>
      </c>
      <c r="BA56" s="27" t="s">
        <v>376</v>
      </c>
      <c r="BB56" s="27" t="s">
        <v>290</v>
      </c>
      <c r="BC56" s="27" t="s">
        <v>316</v>
      </c>
      <c r="BD56" s="27" t="s">
        <v>117</v>
      </c>
      <c r="BE56" s="27" t="s">
        <v>93</v>
      </c>
      <c r="BF56" s="27" t="s">
        <v>313</v>
      </c>
      <c r="BG56" s="27" t="s">
        <v>313</v>
      </c>
      <c r="BH56" s="28">
        <v>41730</v>
      </c>
      <c r="BI56" s="28">
        <v>42155</v>
      </c>
      <c r="BJ56" s="27" t="s">
        <v>94</v>
      </c>
      <c r="BK56" s="27" t="s">
        <v>95</v>
      </c>
      <c r="BL56" s="27" t="s">
        <v>140</v>
      </c>
      <c r="BM56" s="27">
        <v>1</v>
      </c>
      <c r="BN56" s="27">
        <v>1</v>
      </c>
      <c r="BO56" s="27" t="s">
        <v>304</v>
      </c>
      <c r="BP56" s="27" t="s">
        <v>315</v>
      </c>
      <c r="BQ56" s="27">
        <v>0</v>
      </c>
      <c r="BR56" s="27" t="s">
        <v>97</v>
      </c>
      <c r="BS56" s="27">
        <v>0</v>
      </c>
      <c r="BT56" s="27" t="s">
        <v>97</v>
      </c>
      <c r="BU56" s="27">
        <v>1</v>
      </c>
      <c r="BV56" s="27" t="s">
        <v>377</v>
      </c>
      <c r="BW56" s="27" t="s">
        <v>378</v>
      </c>
      <c r="BX56" s="27">
        <v>64</v>
      </c>
      <c r="BY56" s="27">
        <v>1</v>
      </c>
      <c r="BZ56" s="27" t="s">
        <v>99</v>
      </c>
      <c r="CA56" s="27" t="s">
        <v>100</v>
      </c>
      <c r="CB56" s="27" t="s">
        <v>101</v>
      </c>
      <c r="CC56" s="28">
        <v>45847</v>
      </c>
      <c r="CE56" t="s">
        <v>385</v>
      </c>
    </row>
    <row r="57" spans="1:83" x14ac:dyDescent="0.3">
      <c r="A57" s="30" t="s">
        <v>294</v>
      </c>
      <c r="B57" s="30" t="s">
        <v>342</v>
      </c>
      <c r="C57" s="27" t="s">
        <v>317</v>
      </c>
      <c r="D57" s="27">
        <v>2019</v>
      </c>
      <c r="E57" s="30" t="s">
        <v>319</v>
      </c>
      <c r="F57" s="30" t="s">
        <v>320</v>
      </c>
      <c r="G57" s="27" t="s">
        <v>78</v>
      </c>
      <c r="H57" s="27">
        <v>1</v>
      </c>
      <c r="I57" s="27" t="s">
        <v>291</v>
      </c>
      <c r="J57" s="27" t="s">
        <v>79</v>
      </c>
      <c r="L57" s="27" t="s">
        <v>129</v>
      </c>
      <c r="M57" s="27" t="s">
        <v>382</v>
      </c>
      <c r="N57" s="27">
        <v>-0.31</v>
      </c>
      <c r="O57" s="27">
        <v>0.19</v>
      </c>
      <c r="P57" s="27">
        <f>N57/O57</f>
        <v>-1.631578947368421</v>
      </c>
      <c r="Q57" s="27" t="s">
        <v>313</v>
      </c>
      <c r="R57" s="27" t="s">
        <v>313</v>
      </c>
      <c r="S57" s="27" t="s">
        <v>313</v>
      </c>
      <c r="T57" s="27">
        <v>5054</v>
      </c>
      <c r="U57" s="27" t="s">
        <v>313</v>
      </c>
      <c r="V57" s="27">
        <f t="shared" si="12"/>
        <v>5054</v>
      </c>
      <c r="W57" s="27">
        <f>P57/(P57^2 + V57)^(1/2)</f>
        <v>-2.2944369505848126E-2</v>
      </c>
      <c r="X57" s="27">
        <f t="shared" si="13"/>
        <v>1.4062678084229497E-2</v>
      </c>
      <c r="Y57" s="27">
        <f t="shared" si="14"/>
        <v>-2.2944369505848126E-2</v>
      </c>
      <c r="Z57" s="27" t="s">
        <v>81</v>
      </c>
      <c r="AA57" s="32">
        <f t="shared" si="10"/>
        <v>-3.0708599999999999E-2</v>
      </c>
      <c r="AB57" s="32">
        <f t="shared" si="11"/>
        <v>1.8821400000000002E-2</v>
      </c>
      <c r="AC57" s="32">
        <f>AA57</f>
        <v>-3.0708599999999999E-2</v>
      </c>
      <c r="AD57" s="27" t="s">
        <v>82</v>
      </c>
      <c r="AE57" s="27" t="s">
        <v>297</v>
      </c>
      <c r="AF57" s="27">
        <v>99.06</v>
      </c>
      <c r="AG57" s="27">
        <v>49.79</v>
      </c>
      <c r="AH57" s="27">
        <v>23.55</v>
      </c>
      <c r="AI57" s="27">
        <v>342.58</v>
      </c>
      <c r="AJ57" s="27" t="s">
        <v>83</v>
      </c>
      <c r="AK57" s="27" t="s">
        <v>133</v>
      </c>
      <c r="AL57" s="27" t="s">
        <v>85</v>
      </c>
      <c r="AM57" s="27" t="s">
        <v>110</v>
      </c>
      <c r="AN57" s="27">
        <v>0</v>
      </c>
      <c r="AO57" s="27">
        <v>20</v>
      </c>
      <c r="AP57" s="27" t="s">
        <v>87</v>
      </c>
      <c r="AQ57" s="27" t="s">
        <v>88</v>
      </c>
      <c r="AR57" s="27" t="s">
        <v>89</v>
      </c>
      <c r="AS57" s="27" t="s">
        <v>114</v>
      </c>
      <c r="AT57" s="27" t="s">
        <v>293</v>
      </c>
      <c r="AU57" s="27">
        <v>119.6</v>
      </c>
      <c r="AV57" s="27" t="s">
        <v>313</v>
      </c>
      <c r="AW57" s="27" t="s">
        <v>313</v>
      </c>
      <c r="AX57" s="27" t="s">
        <v>313</v>
      </c>
      <c r="AY57" s="27" t="s">
        <v>91</v>
      </c>
      <c r="AZ57" s="27" t="s">
        <v>84</v>
      </c>
      <c r="BA57" s="27" t="s">
        <v>376</v>
      </c>
      <c r="BB57" s="27" t="s">
        <v>290</v>
      </c>
      <c r="BC57" s="27" t="s">
        <v>316</v>
      </c>
      <c r="BD57" s="27" t="s">
        <v>117</v>
      </c>
      <c r="BE57" s="27" t="s">
        <v>93</v>
      </c>
      <c r="BF57" s="27" t="s">
        <v>313</v>
      </c>
      <c r="BG57" s="27" t="s">
        <v>313</v>
      </c>
      <c r="BH57" s="28">
        <v>41730</v>
      </c>
      <c r="BI57" s="28">
        <v>42155</v>
      </c>
      <c r="BJ57" s="27" t="s">
        <v>94</v>
      </c>
      <c r="BK57" s="27" t="s">
        <v>95</v>
      </c>
      <c r="BL57" s="27" t="s">
        <v>140</v>
      </c>
      <c r="BM57" s="27">
        <v>1</v>
      </c>
      <c r="BN57" s="27">
        <v>1</v>
      </c>
      <c r="BO57" s="27" t="s">
        <v>304</v>
      </c>
      <c r="BP57" s="27" t="s">
        <v>315</v>
      </c>
      <c r="BQ57" s="27">
        <v>0</v>
      </c>
      <c r="BR57" s="27" t="s">
        <v>97</v>
      </c>
      <c r="BS57" s="27">
        <v>0</v>
      </c>
      <c r="BT57" s="27" t="s">
        <v>97</v>
      </c>
      <c r="BU57" s="27">
        <v>1</v>
      </c>
      <c r="BV57" s="27" t="s">
        <v>377</v>
      </c>
      <c r="BW57" s="27" t="s">
        <v>378</v>
      </c>
      <c r="BX57" s="27">
        <v>64</v>
      </c>
      <c r="BY57" s="27">
        <v>1</v>
      </c>
      <c r="BZ57" s="27" t="s">
        <v>99</v>
      </c>
      <c r="CA57" s="27" t="s">
        <v>100</v>
      </c>
      <c r="CB57" s="27" t="s">
        <v>101</v>
      </c>
      <c r="CC57" s="28">
        <v>45847</v>
      </c>
      <c r="CE57" t="s">
        <v>385</v>
      </c>
    </row>
    <row r="58" spans="1:83" x14ac:dyDescent="0.3">
      <c r="A58" s="30" t="s">
        <v>294</v>
      </c>
      <c r="B58" s="30" t="s">
        <v>343</v>
      </c>
      <c r="C58" s="27" t="s">
        <v>317</v>
      </c>
      <c r="D58" s="27">
        <v>2019</v>
      </c>
      <c r="E58" s="30" t="s">
        <v>319</v>
      </c>
      <c r="F58" s="30" t="s">
        <v>320</v>
      </c>
      <c r="G58" s="27" t="s">
        <v>78</v>
      </c>
      <c r="H58" s="27">
        <v>1</v>
      </c>
      <c r="I58" s="27" t="s">
        <v>291</v>
      </c>
      <c r="J58" s="27" t="s">
        <v>79</v>
      </c>
      <c r="L58" s="27" t="s">
        <v>129</v>
      </c>
      <c r="M58" s="27" t="s">
        <v>382</v>
      </c>
      <c r="N58" s="27">
        <v>-0.43</v>
      </c>
      <c r="O58" s="27">
        <v>0.25</v>
      </c>
      <c r="P58" s="27">
        <f>N58/O58</f>
        <v>-1.72</v>
      </c>
      <c r="Q58" s="27" t="s">
        <v>313</v>
      </c>
      <c r="R58" s="27" t="s">
        <v>313</v>
      </c>
      <c r="S58" s="27" t="s">
        <v>313</v>
      </c>
      <c r="T58" s="27">
        <v>5054</v>
      </c>
      <c r="U58" s="27" t="s">
        <v>313</v>
      </c>
      <c r="V58" s="27">
        <f t="shared" si="12"/>
        <v>5054</v>
      </c>
      <c r="W58" s="27">
        <f>P58/(P58^2 + V58)^(1/2)</f>
        <v>-2.4187097562168039E-2</v>
      </c>
      <c r="X58" s="27">
        <f t="shared" si="13"/>
        <v>1.4062266024516304E-2</v>
      </c>
      <c r="Y58" s="27">
        <f t="shared" si="14"/>
        <v>-2.4187097562168039E-2</v>
      </c>
      <c r="Z58" s="27" t="s">
        <v>81</v>
      </c>
      <c r="AA58" s="32">
        <f t="shared" si="10"/>
        <v>-4.2595800000000003E-2</v>
      </c>
      <c r="AB58" s="32">
        <f t="shared" si="11"/>
        <v>2.4765000000000002E-2</v>
      </c>
      <c r="AC58" s="32">
        <f>AA58</f>
        <v>-4.2595800000000003E-2</v>
      </c>
      <c r="AD58" s="27" t="s">
        <v>82</v>
      </c>
      <c r="AE58" s="27" t="s">
        <v>297</v>
      </c>
      <c r="AF58" s="27">
        <v>99.06</v>
      </c>
      <c r="AG58" s="27">
        <v>49.79</v>
      </c>
      <c r="AH58" s="27">
        <v>23.55</v>
      </c>
      <c r="AI58" s="27">
        <v>342.58</v>
      </c>
      <c r="AJ58" s="27" t="s">
        <v>83</v>
      </c>
      <c r="AK58" s="27" t="s">
        <v>133</v>
      </c>
      <c r="AL58" s="27" t="s">
        <v>85</v>
      </c>
      <c r="AM58" s="27" t="s">
        <v>110</v>
      </c>
      <c r="AN58" s="27">
        <v>0</v>
      </c>
      <c r="AO58" s="27">
        <v>25</v>
      </c>
      <c r="AP58" s="27" t="s">
        <v>87</v>
      </c>
      <c r="AQ58" s="27" t="s">
        <v>88</v>
      </c>
      <c r="AR58" s="27" t="s">
        <v>89</v>
      </c>
      <c r="AS58" s="27" t="s">
        <v>114</v>
      </c>
      <c r="AT58" s="27" t="s">
        <v>293</v>
      </c>
      <c r="AU58" s="27">
        <v>119.6</v>
      </c>
      <c r="AV58" s="27" t="s">
        <v>313</v>
      </c>
      <c r="AW58" s="27" t="s">
        <v>313</v>
      </c>
      <c r="AX58" s="27" t="s">
        <v>313</v>
      </c>
      <c r="AY58" s="27" t="s">
        <v>91</v>
      </c>
      <c r="AZ58" s="27" t="s">
        <v>84</v>
      </c>
      <c r="BA58" s="27" t="s">
        <v>376</v>
      </c>
      <c r="BB58" s="27" t="s">
        <v>290</v>
      </c>
      <c r="BC58" s="27" t="s">
        <v>316</v>
      </c>
      <c r="BD58" s="27" t="s">
        <v>117</v>
      </c>
      <c r="BE58" s="27" t="s">
        <v>93</v>
      </c>
      <c r="BF58" s="27" t="s">
        <v>313</v>
      </c>
      <c r="BG58" s="27" t="s">
        <v>313</v>
      </c>
      <c r="BH58" s="28">
        <v>41730</v>
      </c>
      <c r="BI58" s="28">
        <v>42155</v>
      </c>
      <c r="BJ58" s="27" t="s">
        <v>94</v>
      </c>
      <c r="BK58" s="27" t="s">
        <v>95</v>
      </c>
      <c r="BL58" s="27" t="s">
        <v>140</v>
      </c>
      <c r="BM58" s="27">
        <v>1</v>
      </c>
      <c r="BN58" s="27">
        <v>1</v>
      </c>
      <c r="BO58" s="27" t="s">
        <v>304</v>
      </c>
      <c r="BP58" s="27" t="s">
        <v>315</v>
      </c>
      <c r="BQ58" s="27">
        <v>0</v>
      </c>
      <c r="BR58" s="27" t="s">
        <v>97</v>
      </c>
      <c r="BS58" s="27">
        <v>0</v>
      </c>
      <c r="BT58" s="27" t="s">
        <v>97</v>
      </c>
      <c r="BU58" s="27">
        <v>1</v>
      </c>
      <c r="BV58" s="27" t="s">
        <v>377</v>
      </c>
      <c r="BW58" s="27" t="s">
        <v>378</v>
      </c>
      <c r="BX58" s="27">
        <v>64</v>
      </c>
      <c r="BY58" s="27">
        <v>1</v>
      </c>
      <c r="BZ58" s="27" t="s">
        <v>99</v>
      </c>
      <c r="CA58" s="27" t="s">
        <v>100</v>
      </c>
      <c r="CB58" s="27" t="s">
        <v>101</v>
      </c>
      <c r="CC58" s="28">
        <v>45847</v>
      </c>
      <c r="CE58" t="s">
        <v>385</v>
      </c>
    </row>
    <row r="59" spans="1:83" x14ac:dyDescent="0.3">
      <c r="A59" s="30" t="s">
        <v>294</v>
      </c>
      <c r="B59" s="30" t="s">
        <v>344</v>
      </c>
      <c r="C59" s="27" t="s">
        <v>317</v>
      </c>
      <c r="D59" s="27">
        <v>2019</v>
      </c>
      <c r="E59" s="30" t="s">
        <v>319</v>
      </c>
      <c r="F59" s="30" t="s">
        <v>320</v>
      </c>
      <c r="G59" s="27" t="s">
        <v>78</v>
      </c>
      <c r="H59" s="27">
        <v>1</v>
      </c>
      <c r="I59" s="27" t="s">
        <v>291</v>
      </c>
      <c r="J59" s="27" t="s">
        <v>79</v>
      </c>
      <c r="L59" s="27" t="s">
        <v>129</v>
      </c>
      <c r="M59" s="27" t="s">
        <v>382</v>
      </c>
      <c r="N59" s="27">
        <v>-0.64</v>
      </c>
      <c r="O59" s="27">
        <v>0.34</v>
      </c>
      <c r="P59" s="27">
        <f>N59/O59</f>
        <v>-1.8823529411764706</v>
      </c>
      <c r="Q59" s="27" t="s">
        <v>313</v>
      </c>
      <c r="R59" s="27" t="s">
        <v>313</v>
      </c>
      <c r="S59" s="27" t="s">
        <v>313</v>
      </c>
      <c r="T59" s="27">
        <v>5054</v>
      </c>
      <c r="U59" s="27" t="s">
        <v>313</v>
      </c>
      <c r="V59" s="27">
        <f t="shared" si="12"/>
        <v>5054</v>
      </c>
      <c r="W59" s="27">
        <f>P59/(P59^2 + V59)^(1/2)</f>
        <v>-2.6468617267124555E-2</v>
      </c>
      <c r="X59" s="27">
        <f t="shared" si="13"/>
        <v>1.406145292315992E-2</v>
      </c>
      <c r="Y59" s="27">
        <f t="shared" si="14"/>
        <v>-2.6468617267124555E-2</v>
      </c>
      <c r="Z59" s="27" t="s">
        <v>81</v>
      </c>
      <c r="AA59" s="32">
        <f t="shared" si="10"/>
        <v>-6.3398400000000008E-2</v>
      </c>
      <c r="AB59" s="32">
        <f t="shared" si="11"/>
        <v>3.3680400000000006E-2</v>
      </c>
      <c r="AC59" s="32">
        <f>AA59</f>
        <v>-6.3398400000000008E-2</v>
      </c>
      <c r="AD59" s="27" t="s">
        <v>82</v>
      </c>
      <c r="AE59" s="27" t="s">
        <v>297</v>
      </c>
      <c r="AF59" s="27">
        <v>99.06</v>
      </c>
      <c r="AG59" s="27">
        <v>49.79</v>
      </c>
      <c r="AH59" s="27">
        <v>23.55</v>
      </c>
      <c r="AI59" s="27">
        <v>342.58</v>
      </c>
      <c r="AJ59" s="27" t="s">
        <v>83</v>
      </c>
      <c r="AK59" s="27" t="s">
        <v>133</v>
      </c>
      <c r="AL59" s="27" t="s">
        <v>85</v>
      </c>
      <c r="AM59" s="27" t="s">
        <v>110</v>
      </c>
      <c r="AN59" s="27">
        <v>0</v>
      </c>
      <c r="AO59" s="27">
        <v>30</v>
      </c>
      <c r="AP59" s="27" t="s">
        <v>87</v>
      </c>
      <c r="AQ59" s="27" t="s">
        <v>88</v>
      </c>
      <c r="AR59" s="27" t="s">
        <v>89</v>
      </c>
      <c r="AS59" s="27" t="s">
        <v>114</v>
      </c>
      <c r="AT59" s="27" t="s">
        <v>293</v>
      </c>
      <c r="AU59" s="27">
        <v>119.6</v>
      </c>
      <c r="AV59" s="27" t="s">
        <v>313</v>
      </c>
      <c r="AW59" s="27" t="s">
        <v>313</v>
      </c>
      <c r="AX59" s="27" t="s">
        <v>313</v>
      </c>
      <c r="AY59" s="27" t="s">
        <v>91</v>
      </c>
      <c r="AZ59" s="27" t="s">
        <v>84</v>
      </c>
      <c r="BA59" s="27" t="s">
        <v>376</v>
      </c>
      <c r="BB59" s="27" t="s">
        <v>290</v>
      </c>
      <c r="BC59" s="27" t="s">
        <v>316</v>
      </c>
      <c r="BD59" s="27" t="s">
        <v>117</v>
      </c>
      <c r="BE59" s="27" t="s">
        <v>93</v>
      </c>
      <c r="BF59" s="27" t="s">
        <v>313</v>
      </c>
      <c r="BG59" s="27" t="s">
        <v>313</v>
      </c>
      <c r="BH59" s="28">
        <v>41730</v>
      </c>
      <c r="BI59" s="28">
        <v>42155</v>
      </c>
      <c r="BJ59" s="27" t="s">
        <v>94</v>
      </c>
      <c r="BK59" s="27" t="s">
        <v>95</v>
      </c>
      <c r="BL59" s="27" t="s">
        <v>140</v>
      </c>
      <c r="BM59" s="27">
        <v>1</v>
      </c>
      <c r="BN59" s="27">
        <v>1</v>
      </c>
      <c r="BO59" s="27" t="s">
        <v>304</v>
      </c>
      <c r="BP59" s="27" t="s">
        <v>315</v>
      </c>
      <c r="BQ59" s="27">
        <v>0</v>
      </c>
      <c r="BR59" s="27" t="s">
        <v>97</v>
      </c>
      <c r="BS59" s="27">
        <v>0</v>
      </c>
      <c r="BT59" s="27" t="s">
        <v>97</v>
      </c>
      <c r="BU59" s="27">
        <v>1</v>
      </c>
      <c r="BV59" s="27" t="s">
        <v>377</v>
      </c>
      <c r="BW59" s="27" t="s">
        <v>378</v>
      </c>
      <c r="BX59" s="27">
        <v>64</v>
      </c>
      <c r="BY59" s="27">
        <v>1</v>
      </c>
      <c r="BZ59" s="27" t="s">
        <v>99</v>
      </c>
      <c r="CA59" s="27" t="s">
        <v>100</v>
      </c>
      <c r="CB59" s="27" t="s">
        <v>101</v>
      </c>
      <c r="CC59" s="28">
        <v>45847</v>
      </c>
      <c r="CE59" t="s">
        <v>385</v>
      </c>
    </row>
    <row r="60" spans="1:83" x14ac:dyDescent="0.3">
      <c r="A60" s="30" t="s">
        <v>294</v>
      </c>
      <c r="B60" s="30" t="s">
        <v>345</v>
      </c>
      <c r="C60" s="27" t="s">
        <v>317</v>
      </c>
      <c r="D60" s="27">
        <v>2019</v>
      </c>
      <c r="E60" s="30" t="s">
        <v>319</v>
      </c>
      <c r="F60" s="30" t="s">
        <v>320</v>
      </c>
      <c r="G60" s="27" t="s">
        <v>78</v>
      </c>
      <c r="H60" s="27">
        <v>1</v>
      </c>
      <c r="I60" s="27" t="s">
        <v>291</v>
      </c>
      <c r="J60" s="27" t="s">
        <v>79</v>
      </c>
      <c r="L60" s="27" t="s">
        <v>129</v>
      </c>
      <c r="M60" s="27" t="s">
        <v>382</v>
      </c>
      <c r="N60" s="27">
        <v>0.35</v>
      </c>
      <c r="O60" s="27">
        <v>0.33</v>
      </c>
      <c r="P60" s="27">
        <f>N60/O60</f>
        <v>1.0606060606060606</v>
      </c>
      <c r="Q60" s="27" t="s">
        <v>313</v>
      </c>
      <c r="R60" s="27" t="s">
        <v>313</v>
      </c>
      <c r="S60" s="27" t="s">
        <v>313</v>
      </c>
      <c r="T60" s="27">
        <v>5054</v>
      </c>
      <c r="U60" s="27" t="s">
        <v>313</v>
      </c>
      <c r="V60" s="27">
        <f t="shared" si="12"/>
        <v>5054</v>
      </c>
      <c r="W60" s="27">
        <f>P60/(P60^2 + V60)^(1/2)</f>
        <v>1.491722910623521E-2</v>
      </c>
      <c r="X60" s="27">
        <f t="shared" si="13"/>
        <v>1.4064816014450339E-2</v>
      </c>
      <c r="Y60" s="27">
        <f t="shared" si="14"/>
        <v>1.491722910623521E-2</v>
      </c>
      <c r="Z60" s="27" t="s">
        <v>81</v>
      </c>
      <c r="AA60" s="32">
        <f t="shared" si="10"/>
        <v>2.1339499999999997E-2</v>
      </c>
      <c r="AB60" s="32">
        <f t="shared" si="11"/>
        <v>2.0120099999999998E-2</v>
      </c>
      <c r="AC60" s="32">
        <f>AA60</f>
        <v>2.1339499999999997E-2</v>
      </c>
      <c r="AD60" s="27" t="s">
        <v>159</v>
      </c>
      <c r="AE60" s="27" t="s">
        <v>297</v>
      </c>
      <c r="AF60" s="27">
        <v>60.97</v>
      </c>
      <c r="AG60" s="27">
        <v>40.840000000000003</v>
      </c>
      <c r="AH60" s="27">
        <v>8.33</v>
      </c>
      <c r="AI60" s="27">
        <v>293.10000000000002</v>
      </c>
      <c r="AJ60" s="27" t="s">
        <v>83</v>
      </c>
      <c r="AK60" s="27" t="s">
        <v>133</v>
      </c>
      <c r="AL60" s="27" t="s">
        <v>85</v>
      </c>
      <c r="AM60" s="27" t="s">
        <v>110</v>
      </c>
      <c r="AN60" s="27">
        <v>0</v>
      </c>
      <c r="AO60" s="27">
        <v>5</v>
      </c>
      <c r="AP60" s="27" t="s">
        <v>87</v>
      </c>
      <c r="AQ60" s="27" t="s">
        <v>88</v>
      </c>
      <c r="AR60" s="27" t="s">
        <v>89</v>
      </c>
      <c r="AS60" s="27" t="s">
        <v>114</v>
      </c>
      <c r="AT60" s="27" t="s">
        <v>293</v>
      </c>
      <c r="AU60" s="27">
        <v>119.6</v>
      </c>
      <c r="AV60" s="27" t="s">
        <v>313</v>
      </c>
      <c r="AW60" s="27" t="s">
        <v>313</v>
      </c>
      <c r="AX60" s="27" t="s">
        <v>313</v>
      </c>
      <c r="AY60" s="27" t="s">
        <v>91</v>
      </c>
      <c r="AZ60" s="27" t="s">
        <v>84</v>
      </c>
      <c r="BA60" s="27" t="s">
        <v>376</v>
      </c>
      <c r="BB60" s="27" t="s">
        <v>290</v>
      </c>
      <c r="BC60" s="27" t="s">
        <v>316</v>
      </c>
      <c r="BD60" s="27" t="s">
        <v>117</v>
      </c>
      <c r="BE60" s="27" t="s">
        <v>93</v>
      </c>
      <c r="BF60" s="27" t="s">
        <v>313</v>
      </c>
      <c r="BG60" s="27" t="s">
        <v>313</v>
      </c>
      <c r="BH60" s="28">
        <v>41730</v>
      </c>
      <c r="BI60" s="28">
        <v>42155</v>
      </c>
      <c r="BJ60" s="27" t="s">
        <v>94</v>
      </c>
      <c r="BK60" s="27" t="s">
        <v>95</v>
      </c>
      <c r="BL60" s="27" t="s">
        <v>140</v>
      </c>
      <c r="BM60" s="27">
        <v>1</v>
      </c>
      <c r="BN60" s="27">
        <v>1</v>
      </c>
      <c r="BO60" s="27" t="s">
        <v>304</v>
      </c>
      <c r="BP60" s="27" t="s">
        <v>315</v>
      </c>
      <c r="BQ60" s="27">
        <v>0</v>
      </c>
      <c r="BR60" s="27" t="s">
        <v>97</v>
      </c>
      <c r="BS60" s="27">
        <v>0</v>
      </c>
      <c r="BT60" s="27" t="s">
        <v>97</v>
      </c>
      <c r="BU60" s="27">
        <v>1</v>
      </c>
      <c r="BV60" s="27" t="s">
        <v>377</v>
      </c>
      <c r="BW60" s="27" t="s">
        <v>378</v>
      </c>
      <c r="BX60" s="27">
        <v>64</v>
      </c>
      <c r="BY60" s="27">
        <v>1</v>
      </c>
      <c r="BZ60" s="27" t="s">
        <v>99</v>
      </c>
      <c r="CA60" s="27" t="s">
        <v>100</v>
      </c>
      <c r="CB60" s="27" t="s">
        <v>101</v>
      </c>
      <c r="CC60" s="28">
        <v>45847</v>
      </c>
      <c r="CE60" t="s">
        <v>385</v>
      </c>
    </row>
    <row r="61" spans="1:83" x14ac:dyDescent="0.3">
      <c r="A61" s="30" t="s">
        <v>294</v>
      </c>
      <c r="B61" s="30" t="s">
        <v>346</v>
      </c>
      <c r="C61" s="27" t="s">
        <v>317</v>
      </c>
      <c r="D61" s="27">
        <v>2019</v>
      </c>
      <c r="E61" s="30" t="s">
        <v>319</v>
      </c>
      <c r="F61" s="30" t="s">
        <v>320</v>
      </c>
      <c r="G61" s="27" t="s">
        <v>78</v>
      </c>
      <c r="H61" s="27">
        <v>1</v>
      </c>
      <c r="I61" s="27" t="s">
        <v>291</v>
      </c>
      <c r="J61" s="27" t="s">
        <v>79</v>
      </c>
      <c r="L61" s="27" t="s">
        <v>129</v>
      </c>
      <c r="M61" s="27" t="s">
        <v>382</v>
      </c>
      <c r="N61" s="27">
        <v>-0.42</v>
      </c>
      <c r="O61" s="27">
        <v>0.44</v>
      </c>
      <c r="P61" s="27">
        <f>N61/O61</f>
        <v>-0.95454545454545447</v>
      </c>
      <c r="Q61" s="27" t="s">
        <v>313</v>
      </c>
      <c r="R61" s="27" t="s">
        <v>313</v>
      </c>
      <c r="S61" s="27" t="s">
        <v>313</v>
      </c>
      <c r="T61" s="27">
        <v>5054</v>
      </c>
      <c r="U61" s="27" t="s">
        <v>313</v>
      </c>
      <c r="V61" s="27">
        <f t="shared" si="12"/>
        <v>5054</v>
      </c>
      <c r="W61" s="27">
        <f>P61/(P61^2 + V61)^(1/2)</f>
        <v>-1.3425790016507188E-2</v>
      </c>
      <c r="X61" s="27">
        <f t="shared" si="13"/>
        <v>1.4065113350626579E-2</v>
      </c>
      <c r="Y61" s="27">
        <f t="shared" si="14"/>
        <v>-1.3425790016507188E-2</v>
      </c>
      <c r="Z61" s="27" t="s">
        <v>81</v>
      </c>
      <c r="AA61" s="32">
        <f t="shared" si="10"/>
        <v>-2.5607399999999995E-2</v>
      </c>
      <c r="AB61" s="32">
        <f t="shared" si="11"/>
        <v>2.6826799999999998E-2</v>
      </c>
      <c r="AC61" s="32">
        <f>AA61</f>
        <v>-2.5607399999999995E-2</v>
      </c>
      <c r="AD61" s="27" t="s">
        <v>159</v>
      </c>
      <c r="AE61" s="27" t="s">
        <v>297</v>
      </c>
      <c r="AF61" s="27">
        <v>60.97</v>
      </c>
      <c r="AG61" s="27">
        <v>40.840000000000003</v>
      </c>
      <c r="AH61" s="27">
        <v>8.33</v>
      </c>
      <c r="AI61" s="27">
        <v>293.10000000000002</v>
      </c>
      <c r="AJ61" s="27" t="s">
        <v>83</v>
      </c>
      <c r="AK61" s="27" t="s">
        <v>133</v>
      </c>
      <c r="AL61" s="27" t="s">
        <v>85</v>
      </c>
      <c r="AM61" s="27" t="s">
        <v>110</v>
      </c>
      <c r="AN61" s="27">
        <v>0</v>
      </c>
      <c r="AO61" s="27">
        <v>10</v>
      </c>
      <c r="AP61" s="27" t="s">
        <v>87</v>
      </c>
      <c r="AQ61" s="27" t="s">
        <v>88</v>
      </c>
      <c r="AR61" s="27" t="s">
        <v>89</v>
      </c>
      <c r="AS61" s="27" t="s">
        <v>114</v>
      </c>
      <c r="AT61" s="27" t="s">
        <v>293</v>
      </c>
      <c r="AU61" s="27">
        <v>119.6</v>
      </c>
      <c r="AV61" s="27" t="s">
        <v>313</v>
      </c>
      <c r="AW61" s="27" t="s">
        <v>313</v>
      </c>
      <c r="AX61" s="27" t="s">
        <v>313</v>
      </c>
      <c r="AY61" s="27" t="s">
        <v>91</v>
      </c>
      <c r="AZ61" s="27" t="s">
        <v>84</v>
      </c>
      <c r="BA61" s="27" t="s">
        <v>376</v>
      </c>
      <c r="BB61" s="27" t="s">
        <v>290</v>
      </c>
      <c r="BC61" s="27" t="s">
        <v>316</v>
      </c>
      <c r="BD61" s="27" t="s">
        <v>117</v>
      </c>
      <c r="BE61" s="27" t="s">
        <v>93</v>
      </c>
      <c r="BF61" s="27" t="s">
        <v>313</v>
      </c>
      <c r="BG61" s="27" t="s">
        <v>313</v>
      </c>
      <c r="BH61" s="28">
        <v>41730</v>
      </c>
      <c r="BI61" s="28">
        <v>42155</v>
      </c>
      <c r="BJ61" s="27" t="s">
        <v>94</v>
      </c>
      <c r="BK61" s="27" t="s">
        <v>95</v>
      </c>
      <c r="BL61" s="27" t="s">
        <v>140</v>
      </c>
      <c r="BM61" s="27">
        <v>1</v>
      </c>
      <c r="BN61" s="27">
        <v>1</v>
      </c>
      <c r="BO61" s="27" t="s">
        <v>304</v>
      </c>
      <c r="BP61" s="27" t="s">
        <v>315</v>
      </c>
      <c r="BQ61" s="27">
        <v>0</v>
      </c>
      <c r="BR61" s="27" t="s">
        <v>97</v>
      </c>
      <c r="BS61" s="27">
        <v>0</v>
      </c>
      <c r="BT61" s="27" t="s">
        <v>97</v>
      </c>
      <c r="BU61" s="27">
        <v>1</v>
      </c>
      <c r="BV61" s="27" t="s">
        <v>377</v>
      </c>
      <c r="BW61" s="27" t="s">
        <v>378</v>
      </c>
      <c r="BX61" s="27">
        <v>64</v>
      </c>
      <c r="BY61" s="27">
        <v>1</v>
      </c>
      <c r="BZ61" s="27" t="s">
        <v>99</v>
      </c>
      <c r="CA61" s="27" t="s">
        <v>100</v>
      </c>
      <c r="CB61" s="27" t="s">
        <v>101</v>
      </c>
      <c r="CC61" s="28">
        <v>45847</v>
      </c>
      <c r="CE61" t="s">
        <v>385</v>
      </c>
    </row>
    <row r="62" spans="1:83" x14ac:dyDescent="0.3">
      <c r="A62" s="30" t="s">
        <v>294</v>
      </c>
      <c r="B62" s="30" t="s">
        <v>347</v>
      </c>
      <c r="C62" s="27" t="s">
        <v>317</v>
      </c>
      <c r="D62" s="27">
        <v>2019</v>
      </c>
      <c r="E62" s="30" t="s">
        <v>319</v>
      </c>
      <c r="F62" s="30" t="s">
        <v>320</v>
      </c>
      <c r="G62" s="27" t="s">
        <v>78</v>
      </c>
      <c r="H62" s="27">
        <v>1</v>
      </c>
      <c r="I62" s="27" t="s">
        <v>291</v>
      </c>
      <c r="J62" s="27" t="s">
        <v>79</v>
      </c>
      <c r="L62" s="27" t="s">
        <v>129</v>
      </c>
      <c r="M62" s="27" t="s">
        <v>382</v>
      </c>
      <c r="N62" s="27">
        <v>-1.02</v>
      </c>
      <c r="O62" s="27">
        <v>0.52</v>
      </c>
      <c r="P62" s="27">
        <f>N62/O62</f>
        <v>-1.9615384615384615</v>
      </c>
      <c r="Q62" s="27" t="s">
        <v>313</v>
      </c>
      <c r="R62" s="27" t="s">
        <v>313</v>
      </c>
      <c r="S62" s="27" t="s">
        <v>313</v>
      </c>
      <c r="T62" s="27">
        <v>5054</v>
      </c>
      <c r="U62" s="27" t="s">
        <v>313</v>
      </c>
      <c r="V62" s="27">
        <f t="shared" si="12"/>
        <v>5054</v>
      </c>
      <c r="W62" s="27">
        <f>P62/(P62^2 + V62)^(1/2)</f>
        <v>-2.7581250778583928E-2</v>
      </c>
      <c r="X62" s="27">
        <f t="shared" si="13"/>
        <v>1.4061029808689847E-2</v>
      </c>
      <c r="Y62" s="27">
        <f t="shared" si="14"/>
        <v>-2.7581250778583928E-2</v>
      </c>
      <c r="Z62" s="27" t="s">
        <v>81</v>
      </c>
      <c r="AA62" s="32">
        <f t="shared" si="10"/>
        <v>-6.2189399999999999E-2</v>
      </c>
      <c r="AB62" s="32">
        <f t="shared" si="11"/>
        <v>3.1704399999999994E-2</v>
      </c>
      <c r="AC62" s="32">
        <f>AA62</f>
        <v>-6.2189399999999999E-2</v>
      </c>
      <c r="AD62" s="27" t="s">
        <v>159</v>
      </c>
      <c r="AE62" s="27" t="s">
        <v>297</v>
      </c>
      <c r="AF62" s="27">
        <v>60.97</v>
      </c>
      <c r="AG62" s="27">
        <v>40.840000000000003</v>
      </c>
      <c r="AH62" s="27">
        <v>8.33</v>
      </c>
      <c r="AI62" s="27">
        <v>293.10000000000002</v>
      </c>
      <c r="AJ62" s="27" t="s">
        <v>83</v>
      </c>
      <c r="AK62" s="27" t="s">
        <v>133</v>
      </c>
      <c r="AL62" s="27" t="s">
        <v>85</v>
      </c>
      <c r="AM62" s="27" t="s">
        <v>110</v>
      </c>
      <c r="AN62" s="27">
        <v>0</v>
      </c>
      <c r="AO62" s="27">
        <v>15</v>
      </c>
      <c r="AP62" s="27" t="s">
        <v>87</v>
      </c>
      <c r="AQ62" s="27" t="s">
        <v>88</v>
      </c>
      <c r="AR62" s="27" t="s">
        <v>89</v>
      </c>
      <c r="AS62" s="27" t="s">
        <v>114</v>
      </c>
      <c r="AT62" s="27" t="s">
        <v>293</v>
      </c>
      <c r="AU62" s="27">
        <v>119.6</v>
      </c>
      <c r="AV62" s="27" t="s">
        <v>313</v>
      </c>
      <c r="AW62" s="27" t="s">
        <v>313</v>
      </c>
      <c r="AX62" s="27" t="s">
        <v>313</v>
      </c>
      <c r="AY62" s="27" t="s">
        <v>91</v>
      </c>
      <c r="AZ62" s="27" t="s">
        <v>84</v>
      </c>
      <c r="BA62" s="27" t="s">
        <v>376</v>
      </c>
      <c r="BB62" s="27" t="s">
        <v>290</v>
      </c>
      <c r="BC62" s="27" t="s">
        <v>316</v>
      </c>
      <c r="BD62" s="27" t="s">
        <v>117</v>
      </c>
      <c r="BE62" s="27" t="s">
        <v>93</v>
      </c>
      <c r="BF62" s="27" t="s">
        <v>313</v>
      </c>
      <c r="BG62" s="27" t="s">
        <v>313</v>
      </c>
      <c r="BH62" s="28">
        <v>41730</v>
      </c>
      <c r="BI62" s="28">
        <v>42155</v>
      </c>
      <c r="BJ62" s="27" t="s">
        <v>94</v>
      </c>
      <c r="BK62" s="27" t="s">
        <v>95</v>
      </c>
      <c r="BL62" s="27" t="s">
        <v>140</v>
      </c>
      <c r="BM62" s="27">
        <v>1</v>
      </c>
      <c r="BN62" s="27">
        <v>1</v>
      </c>
      <c r="BO62" s="27" t="s">
        <v>304</v>
      </c>
      <c r="BP62" s="27" t="s">
        <v>315</v>
      </c>
      <c r="BQ62" s="27">
        <v>0</v>
      </c>
      <c r="BR62" s="27" t="s">
        <v>97</v>
      </c>
      <c r="BS62" s="27">
        <v>0</v>
      </c>
      <c r="BT62" s="27" t="s">
        <v>97</v>
      </c>
      <c r="BU62" s="27">
        <v>1</v>
      </c>
      <c r="BV62" s="27" t="s">
        <v>377</v>
      </c>
      <c r="BW62" s="27" t="s">
        <v>378</v>
      </c>
      <c r="BX62" s="27">
        <v>64</v>
      </c>
      <c r="BY62" s="27">
        <v>1</v>
      </c>
      <c r="BZ62" s="27" t="s">
        <v>99</v>
      </c>
      <c r="CA62" s="27" t="s">
        <v>100</v>
      </c>
      <c r="CB62" s="27" t="s">
        <v>101</v>
      </c>
      <c r="CC62" s="28">
        <v>45847</v>
      </c>
      <c r="CE62" t="s">
        <v>385</v>
      </c>
    </row>
    <row r="63" spans="1:83" x14ac:dyDescent="0.3">
      <c r="A63" s="30" t="s">
        <v>294</v>
      </c>
      <c r="B63" s="30" t="s">
        <v>348</v>
      </c>
      <c r="C63" s="27" t="s">
        <v>317</v>
      </c>
      <c r="D63" s="27">
        <v>2019</v>
      </c>
      <c r="E63" s="30" t="s">
        <v>319</v>
      </c>
      <c r="F63" s="30" t="s">
        <v>320</v>
      </c>
      <c r="G63" s="27" t="s">
        <v>78</v>
      </c>
      <c r="H63" s="27">
        <v>1</v>
      </c>
      <c r="I63" s="27" t="s">
        <v>291</v>
      </c>
      <c r="J63" s="27" t="s">
        <v>79</v>
      </c>
      <c r="L63" s="27" t="s">
        <v>129</v>
      </c>
      <c r="M63" s="27" t="s">
        <v>382</v>
      </c>
      <c r="N63" s="27">
        <v>-2.0699999999999998</v>
      </c>
      <c r="O63" s="27">
        <v>0.65</v>
      </c>
      <c r="P63" s="27">
        <f>N63/O63</f>
        <v>-3.1846153846153844</v>
      </c>
      <c r="Q63" s="27" t="s">
        <v>313</v>
      </c>
      <c r="R63" s="27" t="s">
        <v>313</v>
      </c>
      <c r="S63" s="27" t="s">
        <v>313</v>
      </c>
      <c r="T63" s="27">
        <v>5054</v>
      </c>
      <c r="U63" s="27" t="s">
        <v>313</v>
      </c>
      <c r="V63" s="27">
        <f t="shared" si="12"/>
        <v>5054</v>
      </c>
      <c r="W63" s="27">
        <f>P63/(P63^2 + V63)^(1/2)</f>
        <v>-4.4751135661063965E-2</v>
      </c>
      <c r="X63" s="27">
        <f t="shared" si="13"/>
        <v>1.4052288975696416E-2</v>
      </c>
      <c r="Y63" s="27">
        <f t="shared" si="14"/>
        <v>-4.4751135661063965E-2</v>
      </c>
      <c r="Z63" s="27" t="s">
        <v>81</v>
      </c>
      <c r="AA63" s="32">
        <f t="shared" si="10"/>
        <v>-0.12620789999999998</v>
      </c>
      <c r="AB63" s="32">
        <f t="shared" si="11"/>
        <v>3.9630499999999999E-2</v>
      </c>
      <c r="AC63" s="32">
        <f>AA63</f>
        <v>-0.12620789999999998</v>
      </c>
      <c r="AD63" s="27" t="s">
        <v>159</v>
      </c>
      <c r="AE63" s="27" t="s">
        <v>297</v>
      </c>
      <c r="AF63" s="27">
        <v>60.97</v>
      </c>
      <c r="AG63" s="27">
        <v>40.840000000000003</v>
      </c>
      <c r="AH63" s="27">
        <v>8.33</v>
      </c>
      <c r="AI63" s="27">
        <v>293.10000000000002</v>
      </c>
      <c r="AJ63" s="27" t="s">
        <v>83</v>
      </c>
      <c r="AK63" s="27" t="s">
        <v>133</v>
      </c>
      <c r="AL63" s="27" t="s">
        <v>85</v>
      </c>
      <c r="AM63" s="27" t="s">
        <v>110</v>
      </c>
      <c r="AN63" s="27">
        <v>0</v>
      </c>
      <c r="AO63" s="27">
        <v>20</v>
      </c>
      <c r="AP63" s="27" t="s">
        <v>87</v>
      </c>
      <c r="AQ63" s="27" t="s">
        <v>88</v>
      </c>
      <c r="AR63" s="27" t="s">
        <v>89</v>
      </c>
      <c r="AS63" s="27" t="s">
        <v>114</v>
      </c>
      <c r="AT63" s="27" t="s">
        <v>293</v>
      </c>
      <c r="AU63" s="27">
        <v>119.6</v>
      </c>
      <c r="AV63" s="27" t="s">
        <v>313</v>
      </c>
      <c r="AW63" s="27" t="s">
        <v>313</v>
      </c>
      <c r="AX63" s="27" t="s">
        <v>313</v>
      </c>
      <c r="AY63" s="27" t="s">
        <v>91</v>
      </c>
      <c r="AZ63" s="27" t="s">
        <v>84</v>
      </c>
      <c r="BA63" s="27" t="s">
        <v>376</v>
      </c>
      <c r="BB63" s="27" t="s">
        <v>290</v>
      </c>
      <c r="BC63" s="27" t="s">
        <v>316</v>
      </c>
      <c r="BD63" s="27" t="s">
        <v>117</v>
      </c>
      <c r="BE63" s="27" t="s">
        <v>93</v>
      </c>
      <c r="BF63" s="27" t="s">
        <v>313</v>
      </c>
      <c r="BG63" s="27" t="s">
        <v>313</v>
      </c>
      <c r="BH63" s="28">
        <v>41730</v>
      </c>
      <c r="BI63" s="28">
        <v>42155</v>
      </c>
      <c r="BJ63" s="27" t="s">
        <v>94</v>
      </c>
      <c r="BK63" s="27" t="s">
        <v>95</v>
      </c>
      <c r="BL63" s="27" t="s">
        <v>140</v>
      </c>
      <c r="BM63" s="27">
        <v>1</v>
      </c>
      <c r="BN63" s="27">
        <v>1</v>
      </c>
      <c r="BO63" s="27" t="s">
        <v>304</v>
      </c>
      <c r="BP63" s="27" t="s">
        <v>315</v>
      </c>
      <c r="BQ63" s="27">
        <v>0</v>
      </c>
      <c r="BR63" s="27" t="s">
        <v>97</v>
      </c>
      <c r="BS63" s="27">
        <v>0</v>
      </c>
      <c r="BT63" s="27" t="s">
        <v>97</v>
      </c>
      <c r="BU63" s="27">
        <v>1</v>
      </c>
      <c r="BV63" s="27" t="s">
        <v>377</v>
      </c>
      <c r="BW63" s="27" t="s">
        <v>378</v>
      </c>
      <c r="BX63" s="27">
        <v>64</v>
      </c>
      <c r="BY63" s="27">
        <v>1</v>
      </c>
      <c r="BZ63" s="27" t="s">
        <v>99</v>
      </c>
      <c r="CA63" s="27" t="s">
        <v>100</v>
      </c>
      <c r="CB63" s="27" t="s">
        <v>101</v>
      </c>
      <c r="CC63" s="28">
        <v>45847</v>
      </c>
      <c r="CE63" t="s">
        <v>385</v>
      </c>
    </row>
    <row r="64" spans="1:83" x14ac:dyDescent="0.3">
      <c r="A64" s="30" t="s">
        <v>294</v>
      </c>
      <c r="B64" s="30" t="s">
        <v>349</v>
      </c>
      <c r="C64" s="27" t="s">
        <v>317</v>
      </c>
      <c r="D64" s="27">
        <v>2019</v>
      </c>
      <c r="E64" s="30" t="s">
        <v>319</v>
      </c>
      <c r="F64" s="30" t="s">
        <v>320</v>
      </c>
      <c r="G64" s="27" t="s">
        <v>78</v>
      </c>
      <c r="H64" s="27">
        <v>1</v>
      </c>
      <c r="I64" s="27" t="s">
        <v>291</v>
      </c>
      <c r="J64" s="27" t="s">
        <v>79</v>
      </c>
      <c r="L64" s="27" t="s">
        <v>129</v>
      </c>
      <c r="M64" s="27" t="s">
        <v>382</v>
      </c>
      <c r="N64" s="27">
        <v>-2.2200000000000002</v>
      </c>
      <c r="O64" s="27">
        <v>0.62</v>
      </c>
      <c r="P64" s="27">
        <f>N64/O64</f>
        <v>-3.580645161290323</v>
      </c>
      <c r="Q64" s="27" t="s">
        <v>313</v>
      </c>
      <c r="R64" s="27" t="s">
        <v>313</v>
      </c>
      <c r="S64" s="27" t="s">
        <v>313</v>
      </c>
      <c r="T64" s="27">
        <v>5054</v>
      </c>
      <c r="U64" s="27" t="s">
        <v>313</v>
      </c>
      <c r="V64" s="27">
        <f t="shared" si="12"/>
        <v>5054</v>
      </c>
      <c r="W64" s="27">
        <f>P64/(P64^2 + V64)^(1/2)</f>
        <v>-5.0302955596035932E-2</v>
      </c>
      <c r="X64" s="27">
        <f t="shared" si="13"/>
        <v>1.4048573184478502E-2</v>
      </c>
      <c r="Y64" s="27">
        <f t="shared" si="14"/>
        <v>-5.0302955596035932E-2</v>
      </c>
      <c r="Z64" s="27" t="s">
        <v>81</v>
      </c>
      <c r="AA64" s="32">
        <f t="shared" si="10"/>
        <v>-0.13535339999999998</v>
      </c>
      <c r="AB64" s="32">
        <f t="shared" si="11"/>
        <v>3.7801399999999999E-2</v>
      </c>
      <c r="AC64" s="32">
        <f>AA64</f>
        <v>-0.13535339999999998</v>
      </c>
      <c r="AD64" s="27" t="s">
        <v>159</v>
      </c>
      <c r="AE64" s="27" t="s">
        <v>297</v>
      </c>
      <c r="AF64" s="27">
        <v>60.97</v>
      </c>
      <c r="AG64" s="27">
        <v>40.840000000000003</v>
      </c>
      <c r="AH64" s="27">
        <v>8.33</v>
      </c>
      <c r="AI64" s="27">
        <v>293.10000000000002</v>
      </c>
      <c r="AJ64" s="27" t="s">
        <v>83</v>
      </c>
      <c r="AK64" s="27" t="s">
        <v>133</v>
      </c>
      <c r="AL64" s="27" t="s">
        <v>85</v>
      </c>
      <c r="AM64" s="27" t="s">
        <v>110</v>
      </c>
      <c r="AN64" s="27">
        <v>0</v>
      </c>
      <c r="AO64" s="27">
        <v>25</v>
      </c>
      <c r="AP64" s="27" t="s">
        <v>87</v>
      </c>
      <c r="AQ64" s="27" t="s">
        <v>88</v>
      </c>
      <c r="AR64" s="27" t="s">
        <v>89</v>
      </c>
      <c r="AS64" s="27" t="s">
        <v>114</v>
      </c>
      <c r="AT64" s="27" t="s">
        <v>293</v>
      </c>
      <c r="AU64" s="27">
        <v>119.6</v>
      </c>
      <c r="AV64" s="27" t="s">
        <v>313</v>
      </c>
      <c r="AW64" s="27" t="s">
        <v>313</v>
      </c>
      <c r="AX64" s="27" t="s">
        <v>313</v>
      </c>
      <c r="AY64" s="27" t="s">
        <v>91</v>
      </c>
      <c r="AZ64" s="27" t="s">
        <v>84</v>
      </c>
      <c r="BA64" s="27" t="s">
        <v>376</v>
      </c>
      <c r="BB64" s="27" t="s">
        <v>290</v>
      </c>
      <c r="BC64" s="27" t="s">
        <v>316</v>
      </c>
      <c r="BD64" s="27" t="s">
        <v>117</v>
      </c>
      <c r="BE64" s="27" t="s">
        <v>93</v>
      </c>
      <c r="BF64" s="27" t="s">
        <v>313</v>
      </c>
      <c r="BG64" s="27" t="s">
        <v>313</v>
      </c>
      <c r="BH64" s="28">
        <v>41730</v>
      </c>
      <c r="BI64" s="28">
        <v>42155</v>
      </c>
      <c r="BJ64" s="27" t="s">
        <v>94</v>
      </c>
      <c r="BK64" s="27" t="s">
        <v>95</v>
      </c>
      <c r="BL64" s="27" t="s">
        <v>140</v>
      </c>
      <c r="BM64" s="27">
        <v>1</v>
      </c>
      <c r="BN64" s="27">
        <v>1</v>
      </c>
      <c r="BO64" s="27" t="s">
        <v>304</v>
      </c>
      <c r="BP64" s="27" t="s">
        <v>315</v>
      </c>
      <c r="BQ64" s="27">
        <v>0</v>
      </c>
      <c r="BR64" s="27" t="s">
        <v>97</v>
      </c>
      <c r="BS64" s="27">
        <v>0</v>
      </c>
      <c r="BT64" s="27" t="s">
        <v>97</v>
      </c>
      <c r="BU64" s="27">
        <v>1</v>
      </c>
      <c r="BV64" s="27" t="s">
        <v>377</v>
      </c>
      <c r="BW64" s="27" t="s">
        <v>378</v>
      </c>
      <c r="BX64" s="27">
        <v>64</v>
      </c>
      <c r="BY64" s="27">
        <v>1</v>
      </c>
      <c r="BZ64" s="27" t="s">
        <v>99</v>
      </c>
      <c r="CA64" s="27" t="s">
        <v>100</v>
      </c>
      <c r="CB64" s="27" t="s">
        <v>101</v>
      </c>
      <c r="CC64" s="28">
        <v>45847</v>
      </c>
      <c r="CE64" t="s">
        <v>385</v>
      </c>
    </row>
    <row r="65" spans="1:83" x14ac:dyDescent="0.3">
      <c r="A65" s="30" t="s">
        <v>294</v>
      </c>
      <c r="B65" s="30" t="s">
        <v>350</v>
      </c>
      <c r="C65" s="27" t="s">
        <v>317</v>
      </c>
      <c r="D65" s="27">
        <v>2019</v>
      </c>
      <c r="E65" s="30" t="s">
        <v>319</v>
      </c>
      <c r="F65" s="30" t="s">
        <v>320</v>
      </c>
      <c r="G65" s="27" t="s">
        <v>78</v>
      </c>
      <c r="H65" s="27">
        <v>1</v>
      </c>
      <c r="I65" s="27" t="s">
        <v>291</v>
      </c>
      <c r="J65" s="27" t="s">
        <v>79</v>
      </c>
      <c r="L65" s="27" t="s">
        <v>129</v>
      </c>
      <c r="M65" s="27" t="s">
        <v>382</v>
      </c>
      <c r="N65" s="27">
        <v>-2.4</v>
      </c>
      <c r="O65" s="27">
        <v>0.7</v>
      </c>
      <c r="P65" s="27">
        <f>N65/O65</f>
        <v>-3.4285714285714288</v>
      </c>
      <c r="Q65" s="27" t="s">
        <v>313</v>
      </c>
      <c r="R65" s="27" t="s">
        <v>313</v>
      </c>
      <c r="S65" s="27" t="s">
        <v>313</v>
      </c>
      <c r="T65" s="27">
        <v>5054</v>
      </c>
      <c r="U65" s="27" t="s">
        <v>313</v>
      </c>
      <c r="V65" s="27">
        <f t="shared" si="12"/>
        <v>5054</v>
      </c>
      <c r="W65" s="27">
        <f>P65/(P65^2 + V65)^(1/2)</f>
        <v>-4.8171603879519673E-2</v>
      </c>
      <c r="X65" s="27">
        <f t="shared" si="13"/>
        <v>1.4050051131526568E-2</v>
      </c>
      <c r="Y65" s="27">
        <f t="shared" si="14"/>
        <v>-4.8171603879519673E-2</v>
      </c>
      <c r="Z65" s="27" t="s">
        <v>81</v>
      </c>
      <c r="AA65" s="32">
        <f t="shared" si="10"/>
        <v>-0.14632799999999999</v>
      </c>
      <c r="AB65" s="32">
        <f t="shared" si="11"/>
        <v>4.2678999999999995E-2</v>
      </c>
      <c r="AC65" s="32">
        <f>AA65</f>
        <v>-0.14632799999999999</v>
      </c>
      <c r="AD65" s="27" t="s">
        <v>159</v>
      </c>
      <c r="AE65" s="27" t="s">
        <v>297</v>
      </c>
      <c r="AF65" s="27">
        <v>60.97</v>
      </c>
      <c r="AG65" s="27">
        <v>40.840000000000003</v>
      </c>
      <c r="AH65" s="27">
        <v>8.33</v>
      </c>
      <c r="AI65" s="27">
        <v>293.10000000000002</v>
      </c>
      <c r="AJ65" s="27" t="s">
        <v>83</v>
      </c>
      <c r="AK65" s="27" t="s">
        <v>133</v>
      </c>
      <c r="AL65" s="27" t="s">
        <v>85</v>
      </c>
      <c r="AM65" s="27" t="s">
        <v>110</v>
      </c>
      <c r="AN65" s="27">
        <v>0</v>
      </c>
      <c r="AO65" s="27">
        <v>30</v>
      </c>
      <c r="AP65" s="27" t="s">
        <v>87</v>
      </c>
      <c r="AQ65" s="27" t="s">
        <v>88</v>
      </c>
      <c r="AR65" s="27" t="s">
        <v>89</v>
      </c>
      <c r="AS65" s="27" t="s">
        <v>114</v>
      </c>
      <c r="AT65" s="27" t="s">
        <v>293</v>
      </c>
      <c r="AU65" s="27">
        <v>119.6</v>
      </c>
      <c r="AV65" s="27" t="s">
        <v>313</v>
      </c>
      <c r="AW65" s="27" t="s">
        <v>313</v>
      </c>
      <c r="AX65" s="27" t="s">
        <v>313</v>
      </c>
      <c r="AY65" s="27" t="s">
        <v>91</v>
      </c>
      <c r="AZ65" s="27" t="s">
        <v>84</v>
      </c>
      <c r="BA65" s="27" t="s">
        <v>376</v>
      </c>
      <c r="BB65" s="27" t="s">
        <v>290</v>
      </c>
      <c r="BC65" s="27" t="s">
        <v>316</v>
      </c>
      <c r="BD65" s="27" t="s">
        <v>117</v>
      </c>
      <c r="BE65" s="27" t="s">
        <v>93</v>
      </c>
      <c r="BF65" s="27" t="s">
        <v>313</v>
      </c>
      <c r="BG65" s="27" t="s">
        <v>313</v>
      </c>
      <c r="BH65" s="28">
        <v>41730</v>
      </c>
      <c r="BI65" s="28">
        <v>42155</v>
      </c>
      <c r="BJ65" s="27" t="s">
        <v>94</v>
      </c>
      <c r="BK65" s="27" t="s">
        <v>95</v>
      </c>
      <c r="BL65" s="27" t="s">
        <v>140</v>
      </c>
      <c r="BM65" s="27">
        <v>1</v>
      </c>
      <c r="BN65" s="27">
        <v>1</v>
      </c>
      <c r="BO65" s="27" t="s">
        <v>304</v>
      </c>
      <c r="BP65" s="27" t="s">
        <v>315</v>
      </c>
      <c r="BQ65" s="27">
        <v>0</v>
      </c>
      <c r="BR65" s="27" t="s">
        <v>97</v>
      </c>
      <c r="BS65" s="27">
        <v>0</v>
      </c>
      <c r="BT65" s="27" t="s">
        <v>97</v>
      </c>
      <c r="BU65" s="27">
        <v>1</v>
      </c>
      <c r="BV65" s="27" t="s">
        <v>377</v>
      </c>
      <c r="BW65" s="27" t="s">
        <v>378</v>
      </c>
      <c r="BX65" s="27">
        <v>64</v>
      </c>
      <c r="BY65" s="27">
        <v>1</v>
      </c>
      <c r="BZ65" s="27" t="s">
        <v>99</v>
      </c>
      <c r="CA65" s="27" t="s">
        <v>100</v>
      </c>
      <c r="CB65" s="27" t="s">
        <v>101</v>
      </c>
      <c r="CC65" s="28">
        <v>45847</v>
      </c>
      <c r="CE65" t="s">
        <v>385</v>
      </c>
    </row>
    <row r="66" spans="1:83" x14ac:dyDescent="0.3">
      <c r="BH66" s="28"/>
      <c r="BI66" s="28"/>
    </row>
    <row r="67" spans="1:83" x14ac:dyDescent="0.3">
      <c r="BH67" s="28"/>
      <c r="BI67" s="28"/>
    </row>
  </sheetData>
  <autoFilter ref="A1:CE1" xr:uid="{00000000-0009-0000-0000-000000000000}"/>
  <phoneticPr fontId="9" type="noConversion"/>
  <dataValidations count="2">
    <dataValidation type="list" allowBlank="1" sqref="CD2 BM12:BM14 BM2 BM4:BM6 BN4:BN9 BM8:BM10 CD4:CD17 BN12:BN17 BM16:BM17 CD42:CD281 H2:H281 BU2:BU281 BM42:BN281 BQ2:BQ281 BS2:BS281 BY2:BY281" xr:uid="{00000000-0002-0000-0000-000001000000}">
      <formula1>"1,0"</formula1>
    </dataValidation>
    <dataValidation type="date" allowBlank="1" sqref="CC2:CC281" xr:uid="{00000000-0002-0000-0000-000021000000}"/>
  </dataValidations>
  <pageMargins left="0.75" right="0.75" top="1" bottom="1" header="0.5" footer="0.5"/>
  <legacyDrawing r:id="rId1"/>
  <extLst>
    <ext xmlns:x14="http://schemas.microsoft.com/office/spreadsheetml/2009/9/main" uri="{CCE6A557-97BC-4b89-ADB6-D9C93CAAB3DF}">
      <x14:dataValidations xmlns:xm="http://schemas.microsoft.com/office/excel/2006/main" count="27">
        <x14:dataValidation type="list" allowBlank="1" errorTitle="Valeur non autorisee" error="Valeur hors liste - voir feuille Listes" xr:uid="{00000000-0002-0000-0000-000000000000}">
          <x14:formula1>
            <xm:f>Listes!$A$3:$A$13</xm:f>
          </x14:formula1>
          <xm:sqref>G2:G281</xm:sqref>
        </x14:dataValidation>
        <x14:dataValidation type="list" allowBlank="1" errorTitle="Valeur non autorisee" error="Valeur hors liste - voir feuille Listes" xr:uid="{00000000-0002-0000-0000-000002000000}">
          <x14:formula1>
            <xm:f>Listes!$B$3:$B$13</xm:f>
          </x14:formula1>
          <xm:sqref>J2:J281</xm:sqref>
        </x14:dataValidation>
        <x14:dataValidation type="list" allowBlank="1" errorTitle="Valeur non autorisee" error="Valeur hors liste - voir feuille Listes" xr:uid="{00000000-0002-0000-0000-000003000000}">
          <x14:formula1>
            <xm:f>Listes!$C$3:$C$14</xm:f>
          </x14:formula1>
          <xm:sqref>L2:L281</xm:sqref>
        </x14:dataValidation>
        <x14:dataValidation type="list" allowBlank="1" errorTitle="Valeur non autorisee" error="Valeur hors liste - voir feuille Listes" xr:uid="{00000000-0002-0000-0000-000004000000}">
          <x14:formula1>
            <xm:f>Listes!$D$3:$D$12</xm:f>
          </x14:formula1>
          <xm:sqref>Z2:Z281</xm:sqref>
        </x14:dataValidation>
        <x14:dataValidation type="list" allowBlank="1" errorTitle="Valeur non autorisee" error="Valeur hors liste - voir feuille Listes" xr:uid="{00000000-0002-0000-0000-000007000000}">
          <x14:formula1>
            <xm:f>Listes!$G$3:$G$11</xm:f>
          </x14:formula1>
          <xm:sqref>AK2:AK281</xm:sqref>
        </x14:dataValidation>
        <x14:dataValidation type="list" allowBlank="1" errorTitle="Valeur non autorisee" error="Valeur hors liste - voir feuille Listes" xr:uid="{00000000-0002-0000-0000-000008000000}">
          <x14:formula1>
            <xm:f>Listes!$H$3:$H$11</xm:f>
          </x14:formula1>
          <xm:sqref>AL2:AL281</xm:sqref>
        </x14:dataValidation>
        <x14:dataValidation type="list" allowBlank="1" errorTitle="Valeur non autorisee" error="Valeur hors liste - voir feuille Listes" xr:uid="{00000000-0002-0000-0000-000009000000}">
          <x14:formula1>
            <xm:f>Listes!$I$3:$I$11</xm:f>
          </x14:formula1>
          <xm:sqref>AM2:AM281</xm:sqref>
        </x14:dataValidation>
        <x14:dataValidation type="list" allowBlank="1" errorTitle="Valeur non autorisee" error="Valeur hors liste - voir feuille Listes" xr:uid="{00000000-0002-0000-0000-00000A000000}">
          <x14:formula1>
            <xm:f>Listes!$J$3:$J$14</xm:f>
          </x14:formula1>
          <xm:sqref>AP2:AP281</xm:sqref>
        </x14:dataValidation>
        <x14:dataValidation type="list" allowBlank="1" errorTitle="Valeur non autorisee" error="Valeur hors liste - voir feuille Listes" xr:uid="{00000000-0002-0000-0000-00000B000000}">
          <x14:formula1>
            <xm:f>Listes!$K$3:$K$10</xm:f>
          </x14:formula1>
          <xm:sqref>AQ2:AQ281</xm:sqref>
        </x14:dataValidation>
        <x14:dataValidation type="list" allowBlank="1" errorTitle="Valeur non autorisee" error="Valeur hors liste - voir feuille Listes" xr:uid="{00000000-0002-0000-0000-00000C000000}">
          <x14:formula1>
            <xm:f>Listes!$L$3:$L$11</xm:f>
          </x14:formula1>
          <xm:sqref>AR2:AR281</xm:sqref>
        </x14:dataValidation>
        <x14:dataValidation type="list" allowBlank="1" errorTitle="Valeur non autorisee" error="Valeur hors liste - voir feuille Listes" xr:uid="{00000000-0002-0000-0000-00000D000000}">
          <x14:formula1>
            <xm:f>Listes!$M$3:$M$11</xm:f>
          </x14:formula1>
          <xm:sqref>AS2:AS281</xm:sqref>
        </x14:dataValidation>
        <x14:dataValidation type="list" allowBlank="1" errorTitle="Valeur non autorisee" error="Valeur hors liste - voir feuille Listes" xr:uid="{00000000-0002-0000-0000-00000E000000}">
          <x14:formula1>
            <xm:f>Listes!$N$3:$N$10</xm:f>
          </x14:formula1>
          <xm:sqref>AY2:AY281</xm:sqref>
        </x14:dataValidation>
        <x14:dataValidation type="list" allowBlank="1" errorTitle="Valeur non autorisee" error="Valeur hors liste - voir feuille Listes" xr:uid="{00000000-0002-0000-0000-00000F000000}">
          <x14:formula1>
            <xm:f>Listes!$O$3:$O$11</xm:f>
          </x14:formula1>
          <xm:sqref>AZ2:AZ281</xm:sqref>
        </x14:dataValidation>
        <x14:dataValidation type="list" allowBlank="1" errorTitle="Valeur non autorisee" error="Valeur hors liste - voir feuille Listes" xr:uid="{00000000-0002-0000-0000-000010000000}">
          <x14:formula1>
            <xm:f>Listes!$P$3:$P$10</xm:f>
          </x14:formula1>
          <xm:sqref>BD2:BD281</xm:sqref>
        </x14:dataValidation>
        <x14:dataValidation type="list" allowBlank="1" errorTitle="Valeur non autorisee" error="Valeur hors liste - voir feuille Listes" xr:uid="{00000000-0002-0000-0000-000011000000}">
          <x14:formula1>
            <xm:f>Listes!$Q$3:$Q$11</xm:f>
          </x14:formula1>
          <xm:sqref>BE2:BE281</xm:sqref>
        </x14:dataValidation>
        <x14:dataValidation type="list" allowBlank="1" errorTitle="Valeur non autorisee" error="Valeur hors liste - voir feuille Listes" xr:uid="{00000000-0002-0000-0000-000012000000}">
          <x14:formula1>
            <xm:f>Listes!$R$3:$R$13</xm:f>
          </x14:formula1>
          <xm:sqref>BJ2:BJ281</xm:sqref>
        </x14:dataValidation>
        <x14:dataValidation type="list" allowBlank="1" errorTitle="Valeur non autorisee" error="Valeur hors liste - voir feuille Listes" xr:uid="{00000000-0002-0000-0000-000013000000}">
          <x14:formula1>
            <xm:f>Listes!$S$3:$S$12</xm:f>
          </x14:formula1>
          <xm:sqref>BK2:BK281</xm:sqref>
        </x14:dataValidation>
        <x14:dataValidation type="list" allowBlank="1" errorTitle="Valeur non autorisee" error="Valeur hors liste - voir feuille Listes" xr:uid="{00000000-0002-0000-0000-000014000000}">
          <x14:formula1>
            <xm:f>Listes!$T$3:$T$15</xm:f>
          </x14:formula1>
          <xm:sqref>BL2:BL281</xm:sqref>
        </x14:dataValidation>
        <x14:dataValidation type="list" allowBlank="1" errorTitle="Valeur non autorisee" error="Valeur hors liste - voir feuille Listes" xr:uid="{00000000-0002-0000-0000-000018000000}">
          <x14:formula1>
            <xm:f>Listes!$U$3:$U$12</xm:f>
          </x14:formula1>
          <xm:sqref>BR2:BR281</xm:sqref>
        </x14:dataValidation>
        <x14:dataValidation type="list" allowBlank="1" errorTitle="Valeur non autorisee" error="Valeur hors liste - voir feuille Listes" xr:uid="{00000000-0002-0000-0000-00001A000000}">
          <x14:formula1>
            <xm:f>Listes!$V$3:$V$11</xm:f>
          </x14:formula1>
          <xm:sqref>BT2:BT281</xm:sqref>
        </x14:dataValidation>
        <x14:dataValidation type="list" allowBlank="1" errorTitle="Valeur non autorisee" error="Valeur hors liste - voir feuille Listes" xr:uid="{00000000-0002-0000-0000-00001C000000}">
          <x14:formula1>
            <xm:f>Listes!$W$3:$W$13</xm:f>
          </x14:formula1>
          <xm:sqref>BW2:BW281</xm:sqref>
        </x14:dataValidation>
        <x14:dataValidation type="list" allowBlank="1" errorTitle="Valeur non autorisee" error="Valeur hors liste - voir feuille Listes" xr:uid="{00000000-0002-0000-0000-00001E000000}">
          <x14:formula1>
            <xm:f>Listes!$X$3:$X$10</xm:f>
          </x14:formula1>
          <xm:sqref>BZ2:BZ281</xm:sqref>
        </x14:dataValidation>
        <x14:dataValidation type="list" allowBlank="1" errorTitle="Valeur non autorisee" error="Valeur hors liste - voir feuille Listes" xr:uid="{00000000-0002-0000-0000-00001F000000}">
          <x14:formula1>
            <xm:f>Listes!$Y$3:$Y$10</xm:f>
          </x14:formula1>
          <xm:sqref>CA2:CA281</xm:sqref>
        </x14:dataValidation>
        <x14:dataValidation type="list" allowBlank="1" errorTitle="Valeur non autorisee" error="Valeur hors liste - voir feuille Listes" xr:uid="{00000000-0002-0000-0000-000020000000}">
          <x14:formula1>
            <xm:f>Listes!$Z$3:$Z$10</xm:f>
          </x14:formula1>
          <xm:sqref>CB2:CB281</xm:sqref>
        </x14:dataValidation>
        <x14:dataValidation type="list" allowBlank="1" errorTitle="Valeur non autorisee" error="Valeur hors liste - voir feuille Listes" xr:uid="{B6925412-A9F5-4982-BB9F-EEC087FE60A5}">
          <x14:formula1>
            <xm:f>Listes!$D$3:$D$6</xm:f>
          </x14:formula1>
          <xm:sqref>M1:M1048576</xm:sqref>
        </x14:dataValidation>
        <x14:dataValidation type="list" allowBlank="1" errorTitle="Valeur non autorisee" error="Valeur hors liste - voir feuille Listes" xr:uid="{00000000-0002-0000-0000-000005000000}">
          <x14:formula1>
            <xm:f>Listes!$E$3:$E$17</xm:f>
          </x14:formula1>
          <xm:sqref>AD2:AD281</xm:sqref>
        </x14:dataValidation>
        <x14:dataValidation type="list" allowBlank="1" errorTitle="Valeur non autorisee" error="Valeur hors liste - voir feuille Listes" xr:uid="{00000000-0002-0000-0000-000006000000}">
          <x14:formula1>
            <xm:f>Listes!$F$3:$F$13</xm:f>
          </x14:formula1>
          <xm:sqref>AJ2:AJ281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10"/>
  <sheetViews>
    <sheetView workbookViewId="0">
      <pane ySplit="2" topLeftCell="A3" activePane="bottomLeft" state="frozen"/>
      <selection pane="bottomLeft" activeCell="F15" sqref="F15"/>
    </sheetView>
  </sheetViews>
  <sheetFormatPr baseColWidth="10" defaultColWidth="8.88671875" defaultRowHeight="14.4" x14ac:dyDescent="0.3"/>
  <cols>
    <col min="1" max="2" width="14" customWidth="1"/>
    <col min="3" max="3" width="17" customWidth="1"/>
    <col min="4" max="5" width="14" customWidth="1"/>
    <col min="6" max="6" width="18" customWidth="1"/>
    <col min="7" max="7" width="21" customWidth="1"/>
    <col min="8" max="8" width="16" customWidth="1"/>
    <col min="9" max="9" width="15" customWidth="1"/>
    <col min="10" max="13" width="14" customWidth="1"/>
    <col min="14" max="14" width="19" customWidth="1"/>
    <col min="15" max="15" width="15" customWidth="1"/>
    <col min="16" max="17" width="14" customWidth="1"/>
    <col min="18" max="19" width="16" customWidth="1"/>
    <col min="20" max="20" width="14" customWidth="1"/>
    <col min="21" max="21" width="23" customWidth="1"/>
    <col min="22" max="22" width="30" customWidth="1"/>
    <col min="23" max="23" width="17" customWidth="1"/>
    <col min="24" max="24" width="24" customWidth="1"/>
    <col min="25" max="25" width="16" customWidth="1"/>
    <col min="26" max="26" width="14" customWidth="1"/>
  </cols>
  <sheetData>
    <row r="1" spans="1:27" ht="30" customHeight="1" x14ac:dyDescent="0.3">
      <c r="A1" s="22" t="s">
        <v>77</v>
      </c>
      <c r="B1" s="23"/>
      <c r="C1" s="23"/>
      <c r="D1" s="23"/>
      <c r="E1" s="23"/>
      <c r="F1" s="23"/>
      <c r="G1" s="23"/>
      <c r="H1" s="23"/>
    </row>
    <row r="2" spans="1:27" ht="24.6" x14ac:dyDescent="0.3">
      <c r="A2" s="9" t="s">
        <v>6</v>
      </c>
      <c r="B2" s="9" t="s">
        <v>9</v>
      </c>
      <c r="C2" s="9" t="s">
        <v>11</v>
      </c>
      <c r="D2" s="37" t="s">
        <v>380</v>
      </c>
      <c r="E2" s="9" t="s">
        <v>20</v>
      </c>
      <c r="F2" s="9" t="s">
        <v>24</v>
      </c>
      <c r="G2" s="9" t="s">
        <v>30</v>
      </c>
      <c r="H2" s="9" t="s">
        <v>31</v>
      </c>
      <c r="I2" s="9" t="s">
        <v>32</v>
      </c>
      <c r="J2" s="9" t="s">
        <v>33</v>
      </c>
      <c r="K2" s="9" t="s">
        <v>36</v>
      </c>
      <c r="L2" s="9" t="s">
        <v>37</v>
      </c>
      <c r="M2" s="9" t="s">
        <v>38</v>
      </c>
      <c r="N2" s="9" t="s">
        <v>39</v>
      </c>
      <c r="O2" s="9" t="s">
        <v>45</v>
      </c>
      <c r="P2" s="9" t="s">
        <v>46</v>
      </c>
      <c r="Q2" s="9" t="s">
        <v>49</v>
      </c>
      <c r="R2" s="9" t="s">
        <v>50</v>
      </c>
      <c r="S2" s="9" t="s">
        <v>55</v>
      </c>
      <c r="T2" s="9" t="s">
        <v>56</v>
      </c>
      <c r="U2" s="9" t="s">
        <v>57</v>
      </c>
      <c r="V2" s="9" t="s">
        <v>63</v>
      </c>
      <c r="W2" s="9" t="s">
        <v>65</v>
      </c>
      <c r="X2" s="9" t="s">
        <v>68</v>
      </c>
      <c r="Y2" s="9" t="s">
        <v>71</v>
      </c>
      <c r="Z2" s="9" t="s">
        <v>72</v>
      </c>
      <c r="AA2" s="9" t="s">
        <v>73</v>
      </c>
    </row>
    <row r="3" spans="1:27" x14ac:dyDescent="0.3">
      <c r="A3" s="10" t="s">
        <v>78</v>
      </c>
      <c r="B3" s="10" t="s">
        <v>79</v>
      </c>
      <c r="C3" s="10" t="s">
        <v>80</v>
      </c>
      <c r="D3" s="38" t="s">
        <v>381</v>
      </c>
      <c r="E3" s="10" t="s">
        <v>81</v>
      </c>
      <c r="F3" s="10" t="s">
        <v>82</v>
      </c>
      <c r="G3" s="10" t="s">
        <v>83</v>
      </c>
      <c r="H3" s="10" t="s">
        <v>84</v>
      </c>
      <c r="I3" s="10" t="s">
        <v>85</v>
      </c>
      <c r="J3" s="10" t="s">
        <v>86</v>
      </c>
      <c r="K3" s="10" t="s">
        <v>87</v>
      </c>
      <c r="L3" s="10" t="s">
        <v>88</v>
      </c>
      <c r="M3" s="10" t="s">
        <v>89</v>
      </c>
      <c r="N3" s="10" t="s">
        <v>90</v>
      </c>
      <c r="O3" s="10" t="s">
        <v>91</v>
      </c>
      <c r="P3" s="10" t="s">
        <v>84</v>
      </c>
      <c r="Q3" s="10" t="s">
        <v>92</v>
      </c>
      <c r="R3" s="10" t="s">
        <v>93</v>
      </c>
      <c r="S3" s="10" t="s">
        <v>94</v>
      </c>
      <c r="T3" s="10" t="s">
        <v>95</v>
      </c>
      <c r="U3" s="10" t="s">
        <v>96</v>
      </c>
      <c r="V3" s="10" t="s">
        <v>97</v>
      </c>
      <c r="W3" s="10" t="s">
        <v>97</v>
      </c>
      <c r="X3" s="10" t="s">
        <v>98</v>
      </c>
      <c r="Y3" s="10" t="s">
        <v>99</v>
      </c>
      <c r="Z3" s="10" t="s">
        <v>100</v>
      </c>
      <c r="AA3" s="10" t="s">
        <v>101</v>
      </c>
    </row>
    <row r="4" spans="1:27" x14ac:dyDescent="0.3">
      <c r="A4" s="10" t="s">
        <v>102</v>
      </c>
      <c r="B4" s="10" t="s">
        <v>103</v>
      </c>
      <c r="C4" s="10" t="s">
        <v>104</v>
      </c>
      <c r="D4" s="38" t="s">
        <v>382</v>
      </c>
      <c r="E4" s="10" t="s">
        <v>105</v>
      </c>
      <c r="F4" s="10" t="s">
        <v>106</v>
      </c>
      <c r="G4" s="10" t="s">
        <v>107</v>
      </c>
      <c r="H4" s="10" t="s">
        <v>108</v>
      </c>
      <c r="I4" s="10" t="s">
        <v>109</v>
      </c>
      <c r="J4" s="10" t="s">
        <v>110</v>
      </c>
      <c r="K4" s="10" t="s">
        <v>111</v>
      </c>
      <c r="L4" s="10" t="s">
        <v>112</v>
      </c>
      <c r="M4" s="10" t="s">
        <v>113</v>
      </c>
      <c r="N4" s="10" t="s">
        <v>114</v>
      </c>
      <c r="O4" s="10" t="s">
        <v>115</v>
      </c>
      <c r="P4" s="10" t="s">
        <v>116</v>
      </c>
      <c r="Q4" s="10" t="s">
        <v>117</v>
      </c>
      <c r="R4" s="10" t="s">
        <v>118</v>
      </c>
      <c r="S4" s="10" t="s">
        <v>119</v>
      </c>
      <c r="T4" s="10" t="s">
        <v>120</v>
      </c>
      <c r="U4" s="10" t="s">
        <v>61</v>
      </c>
      <c r="V4" s="10" t="s">
        <v>121</v>
      </c>
      <c r="W4" s="10" t="s">
        <v>122</v>
      </c>
      <c r="X4" s="10" t="s">
        <v>123</v>
      </c>
      <c r="Y4" s="10" t="s">
        <v>124</v>
      </c>
      <c r="Z4" s="10" t="s">
        <v>125</v>
      </c>
      <c r="AA4" s="10" t="s">
        <v>126</v>
      </c>
    </row>
    <row r="5" spans="1:27" x14ac:dyDescent="0.3">
      <c r="A5" s="10" t="s">
        <v>127</v>
      </c>
      <c r="B5" s="10" t="s">
        <v>128</v>
      </c>
      <c r="C5" s="10" t="s">
        <v>129</v>
      </c>
      <c r="D5" s="38" t="s">
        <v>157</v>
      </c>
      <c r="E5" s="10" t="s">
        <v>130</v>
      </c>
      <c r="F5" s="10" t="s">
        <v>131</v>
      </c>
      <c r="G5" s="10" t="s">
        <v>132</v>
      </c>
      <c r="H5" s="10" t="s">
        <v>133</v>
      </c>
      <c r="I5" s="10" t="s">
        <v>134</v>
      </c>
      <c r="J5" s="10" t="s">
        <v>135</v>
      </c>
      <c r="K5" s="10" t="s">
        <v>136</v>
      </c>
      <c r="M5" s="10" t="s">
        <v>134</v>
      </c>
      <c r="N5" s="10" t="s">
        <v>134</v>
      </c>
      <c r="P5" s="10" t="s">
        <v>137</v>
      </c>
      <c r="R5" s="10" t="s">
        <v>134</v>
      </c>
      <c r="S5" s="10" t="s">
        <v>138</v>
      </c>
      <c r="T5" s="10" t="s">
        <v>139</v>
      </c>
      <c r="U5" s="10" t="s">
        <v>140</v>
      </c>
      <c r="V5" s="10" t="s">
        <v>141</v>
      </c>
      <c r="W5" s="10" t="s">
        <v>142</v>
      </c>
      <c r="X5" s="10" t="s">
        <v>143</v>
      </c>
    </row>
    <row r="6" spans="1:27" x14ac:dyDescent="0.3">
      <c r="A6" s="10" t="s">
        <v>144</v>
      </c>
      <c r="B6" s="10" t="s">
        <v>145</v>
      </c>
      <c r="C6" s="10" t="s">
        <v>146</v>
      </c>
      <c r="D6" s="10"/>
      <c r="E6" s="10" t="s">
        <v>147</v>
      </c>
      <c r="F6" s="10" t="s">
        <v>148</v>
      </c>
      <c r="G6" s="10" t="s">
        <v>149</v>
      </c>
      <c r="H6" s="26"/>
      <c r="K6" s="10" t="s">
        <v>150</v>
      </c>
      <c r="S6" s="10" t="s">
        <v>151</v>
      </c>
      <c r="T6" s="10" t="s">
        <v>152</v>
      </c>
      <c r="U6" s="10" t="s">
        <v>153</v>
      </c>
      <c r="V6" s="10" t="s">
        <v>154</v>
      </c>
      <c r="X6" s="10" t="s">
        <v>155</v>
      </c>
    </row>
    <row r="7" spans="1:27" x14ac:dyDescent="0.3">
      <c r="A7" s="10" t="s">
        <v>156</v>
      </c>
      <c r="B7" s="10" t="s">
        <v>157</v>
      </c>
      <c r="C7" s="10" t="s">
        <v>158</v>
      </c>
      <c r="D7" s="10"/>
      <c r="F7" s="10" t="s">
        <v>159</v>
      </c>
      <c r="G7" s="10" t="s">
        <v>157</v>
      </c>
      <c r="K7" s="10" t="s">
        <v>160</v>
      </c>
      <c r="S7" s="10" t="s">
        <v>157</v>
      </c>
      <c r="U7" s="10" t="s">
        <v>161</v>
      </c>
      <c r="X7" s="10" t="s">
        <v>157</v>
      </c>
    </row>
    <row r="8" spans="1:27" x14ac:dyDescent="0.3">
      <c r="C8" s="10" t="s">
        <v>157</v>
      </c>
      <c r="D8" s="10"/>
      <c r="F8" s="10" t="s">
        <v>162</v>
      </c>
      <c r="G8" s="26"/>
      <c r="K8" s="10" t="s">
        <v>157</v>
      </c>
      <c r="U8" s="10" t="s">
        <v>139</v>
      </c>
      <c r="X8" s="35" t="s">
        <v>378</v>
      </c>
    </row>
    <row r="9" spans="1:27" x14ac:dyDescent="0.3">
      <c r="F9" s="10" t="s">
        <v>163</v>
      </c>
      <c r="T9" s="10" t="s">
        <v>157</v>
      </c>
    </row>
    <row r="10" spans="1:27" x14ac:dyDescent="0.3">
      <c r="F10" s="10" t="s">
        <v>142</v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84"/>
  <sheetViews>
    <sheetView zoomScale="117" workbookViewId="0">
      <pane ySplit="5" topLeftCell="A6" activePane="bottomLeft" state="frozen"/>
      <selection pane="bottomLeft" activeCell="C19" sqref="C19"/>
    </sheetView>
  </sheetViews>
  <sheetFormatPr baseColWidth="10" defaultColWidth="8.88671875" defaultRowHeight="14.4" x14ac:dyDescent="0.3"/>
  <cols>
    <col min="1" max="1" width="28" customWidth="1"/>
    <col min="2" max="2" width="20" customWidth="1"/>
    <col min="3" max="3" width="62" customWidth="1"/>
    <col min="4" max="4" width="14" customWidth="1"/>
    <col min="5" max="5" width="42" customWidth="1"/>
  </cols>
  <sheetData>
    <row r="1" spans="1:5" x14ac:dyDescent="0.3">
      <c r="A1" s="24" t="s">
        <v>164</v>
      </c>
      <c r="B1" s="23"/>
      <c r="C1" s="23"/>
      <c r="D1" s="23"/>
      <c r="E1" s="23"/>
    </row>
    <row r="2" spans="1:5" x14ac:dyDescent="0.3">
      <c r="A2" s="22" t="s">
        <v>165</v>
      </c>
      <c r="B2" s="23"/>
      <c r="C2" s="23"/>
      <c r="D2" s="23"/>
      <c r="E2" s="23"/>
    </row>
    <row r="3" spans="1:5" x14ac:dyDescent="0.3">
      <c r="A3" s="25" t="s">
        <v>166</v>
      </c>
      <c r="B3" s="23"/>
      <c r="C3" s="23"/>
      <c r="D3" s="23"/>
      <c r="E3" s="23"/>
    </row>
    <row r="5" spans="1:5" x14ac:dyDescent="0.3">
      <c r="A5" s="11" t="s">
        <v>167</v>
      </c>
      <c r="B5" s="11" t="s">
        <v>168</v>
      </c>
      <c r="C5" s="11" t="s">
        <v>169</v>
      </c>
      <c r="D5" s="11" t="s">
        <v>170</v>
      </c>
      <c r="E5" s="11" t="s">
        <v>171</v>
      </c>
    </row>
    <row r="6" spans="1:5" ht="22.8" x14ac:dyDescent="0.3">
      <c r="A6" s="12" t="s">
        <v>0</v>
      </c>
      <c r="B6" s="13" t="s">
        <v>172</v>
      </c>
      <c r="C6" s="14" t="s">
        <v>173</v>
      </c>
      <c r="D6" s="14" t="s">
        <v>174</v>
      </c>
      <c r="E6" s="14"/>
    </row>
    <row r="7" spans="1:5" x14ac:dyDescent="0.3">
      <c r="A7" s="12" t="s">
        <v>1</v>
      </c>
      <c r="B7" s="13" t="s">
        <v>172</v>
      </c>
      <c r="C7" s="14" t="s">
        <v>175</v>
      </c>
      <c r="D7" s="14" t="s">
        <v>174</v>
      </c>
      <c r="E7" s="14"/>
    </row>
    <row r="8" spans="1:5" x14ac:dyDescent="0.3">
      <c r="A8" s="12" t="s">
        <v>2</v>
      </c>
      <c r="B8" s="13" t="s">
        <v>172</v>
      </c>
      <c r="C8" s="14" t="s">
        <v>176</v>
      </c>
      <c r="D8" s="14" t="s">
        <v>174</v>
      </c>
      <c r="E8" s="14"/>
    </row>
    <row r="9" spans="1:5" x14ac:dyDescent="0.3">
      <c r="A9" s="12" t="s">
        <v>3</v>
      </c>
      <c r="B9" s="13" t="s">
        <v>172</v>
      </c>
      <c r="C9" s="14" t="s">
        <v>177</v>
      </c>
      <c r="D9" s="14" t="s">
        <v>178</v>
      </c>
      <c r="E9" s="14"/>
    </row>
    <row r="10" spans="1:5" x14ac:dyDescent="0.3">
      <c r="A10" s="12" t="s">
        <v>4</v>
      </c>
      <c r="B10" s="13" t="s">
        <v>172</v>
      </c>
      <c r="C10" s="14" t="s">
        <v>179</v>
      </c>
      <c r="D10" s="14" t="s">
        <v>174</v>
      </c>
      <c r="E10" s="14"/>
    </row>
    <row r="11" spans="1:5" x14ac:dyDescent="0.3">
      <c r="A11" s="12" t="s">
        <v>5</v>
      </c>
      <c r="B11" s="13" t="s">
        <v>172</v>
      </c>
      <c r="C11" s="14" t="s">
        <v>180</v>
      </c>
      <c r="D11" s="14" t="s">
        <v>174</v>
      </c>
      <c r="E11" s="14"/>
    </row>
    <row r="12" spans="1:5" x14ac:dyDescent="0.3">
      <c r="A12" s="12" t="s">
        <v>6</v>
      </c>
      <c r="B12" s="13" t="s">
        <v>172</v>
      </c>
      <c r="C12" s="14" t="s">
        <v>282</v>
      </c>
      <c r="D12" s="14" t="s">
        <v>181</v>
      </c>
      <c r="E12" s="14" t="s">
        <v>182</v>
      </c>
    </row>
    <row r="13" spans="1:5" x14ac:dyDescent="0.3">
      <c r="A13" s="12" t="s">
        <v>7</v>
      </c>
      <c r="B13" s="13" t="s">
        <v>172</v>
      </c>
      <c r="C13" s="14" t="s">
        <v>183</v>
      </c>
      <c r="D13" s="14" t="s">
        <v>184</v>
      </c>
      <c r="E13" s="14" t="s">
        <v>185</v>
      </c>
    </row>
    <row r="14" spans="1:5" x14ac:dyDescent="0.3">
      <c r="A14" s="12" t="s">
        <v>8</v>
      </c>
      <c r="B14" s="13" t="s">
        <v>172</v>
      </c>
      <c r="C14" s="14" t="s">
        <v>186</v>
      </c>
      <c r="D14" s="14" t="s">
        <v>174</v>
      </c>
      <c r="E14" s="14"/>
    </row>
    <row r="15" spans="1:5" x14ac:dyDescent="0.3">
      <c r="A15" s="12" t="s">
        <v>9</v>
      </c>
      <c r="B15" s="13" t="s">
        <v>172</v>
      </c>
      <c r="C15" s="14" t="s">
        <v>283</v>
      </c>
      <c r="D15" s="14" t="s">
        <v>181</v>
      </c>
      <c r="E15" s="14" t="s">
        <v>187</v>
      </c>
    </row>
    <row r="16" spans="1:5" x14ac:dyDescent="0.3">
      <c r="A16" s="12" t="s">
        <v>10</v>
      </c>
      <c r="B16" s="13" t="s">
        <v>172</v>
      </c>
      <c r="C16" s="14" t="s">
        <v>188</v>
      </c>
      <c r="D16" s="14" t="s">
        <v>178</v>
      </c>
      <c r="E16" s="14"/>
    </row>
    <row r="17" spans="1:5" ht="22.8" x14ac:dyDescent="0.3">
      <c r="A17" s="12" t="s">
        <v>11</v>
      </c>
      <c r="B17" s="15" t="s">
        <v>189</v>
      </c>
      <c r="C17" s="14" t="s">
        <v>190</v>
      </c>
      <c r="D17" s="14" t="s">
        <v>181</v>
      </c>
      <c r="E17" s="14" t="s">
        <v>191</v>
      </c>
    </row>
    <row r="18" spans="1:5" ht="22.8" x14ac:dyDescent="0.3">
      <c r="A18" s="39" t="s">
        <v>379</v>
      </c>
      <c r="B18" s="15" t="s">
        <v>189</v>
      </c>
      <c r="C18" s="14" t="s">
        <v>383</v>
      </c>
      <c r="D18" s="40" t="s">
        <v>181</v>
      </c>
      <c r="E18" s="40" t="s">
        <v>384</v>
      </c>
    </row>
    <row r="19" spans="1:5" x14ac:dyDescent="0.3">
      <c r="A19" s="12" t="s">
        <v>12</v>
      </c>
      <c r="B19" s="15" t="s">
        <v>189</v>
      </c>
      <c r="C19" s="40" t="s">
        <v>192</v>
      </c>
      <c r="D19" s="14" t="s">
        <v>193</v>
      </c>
      <c r="E19" s="14"/>
    </row>
    <row r="20" spans="1:5" x14ac:dyDescent="0.3">
      <c r="A20" s="12" t="s">
        <v>13</v>
      </c>
      <c r="B20" s="15" t="s">
        <v>189</v>
      </c>
      <c r="C20" s="14" t="s">
        <v>284</v>
      </c>
      <c r="D20" s="14" t="s">
        <v>193</v>
      </c>
      <c r="E20" s="14"/>
    </row>
    <row r="21" spans="1:5" x14ac:dyDescent="0.3">
      <c r="A21" s="12" t="s">
        <v>14</v>
      </c>
      <c r="B21" s="15" t="s">
        <v>189</v>
      </c>
      <c r="C21" s="14" t="s">
        <v>194</v>
      </c>
      <c r="D21" s="14" t="s">
        <v>193</v>
      </c>
      <c r="E21" s="14"/>
    </row>
    <row r="22" spans="1:5" x14ac:dyDescent="0.3">
      <c r="A22" s="12" t="s">
        <v>15</v>
      </c>
      <c r="B22" s="15" t="s">
        <v>189</v>
      </c>
      <c r="C22" s="14" t="s">
        <v>195</v>
      </c>
      <c r="D22" s="14" t="s">
        <v>193</v>
      </c>
      <c r="E22" s="14"/>
    </row>
    <row r="23" spans="1:5" x14ac:dyDescent="0.3">
      <c r="A23" s="12" t="s">
        <v>16</v>
      </c>
      <c r="B23" s="15" t="s">
        <v>189</v>
      </c>
      <c r="C23" s="14" t="s">
        <v>196</v>
      </c>
      <c r="D23" s="14" t="s">
        <v>193</v>
      </c>
      <c r="E23" s="14"/>
    </row>
    <row r="24" spans="1:5" x14ac:dyDescent="0.3">
      <c r="A24" s="12" t="s">
        <v>17</v>
      </c>
      <c r="B24" s="15" t="s">
        <v>189</v>
      </c>
      <c r="C24" s="14" t="s">
        <v>197</v>
      </c>
      <c r="D24" s="14" t="s">
        <v>193</v>
      </c>
      <c r="E24" s="14"/>
    </row>
    <row r="25" spans="1:5" x14ac:dyDescent="0.3">
      <c r="A25" s="12" t="s">
        <v>18</v>
      </c>
      <c r="B25" s="15" t="s">
        <v>189</v>
      </c>
      <c r="C25" s="14" t="s">
        <v>198</v>
      </c>
      <c r="D25" s="14" t="s">
        <v>178</v>
      </c>
      <c r="E25" s="14"/>
    </row>
    <row r="26" spans="1:5" x14ac:dyDescent="0.3">
      <c r="A26" s="12" t="s">
        <v>19</v>
      </c>
      <c r="B26" s="15" t="s">
        <v>189</v>
      </c>
      <c r="C26" s="14" t="s">
        <v>199</v>
      </c>
      <c r="D26" s="14" t="s">
        <v>178</v>
      </c>
      <c r="E26" s="14"/>
    </row>
    <row r="27" spans="1:5" x14ac:dyDescent="0.3">
      <c r="A27" s="12" t="s">
        <v>20</v>
      </c>
      <c r="B27" s="15" t="s">
        <v>189</v>
      </c>
      <c r="C27" s="14" t="s">
        <v>200</v>
      </c>
      <c r="D27" s="14" t="s">
        <v>181</v>
      </c>
      <c r="E27" s="14" t="s">
        <v>201</v>
      </c>
    </row>
    <row r="28" spans="1:5" x14ac:dyDescent="0.3">
      <c r="A28" s="12" t="s">
        <v>21</v>
      </c>
      <c r="B28" s="15" t="s">
        <v>189</v>
      </c>
      <c r="C28" s="14" t="s">
        <v>202</v>
      </c>
      <c r="D28" s="14" t="s">
        <v>193</v>
      </c>
      <c r="E28" s="14"/>
    </row>
    <row r="29" spans="1:5" x14ac:dyDescent="0.3">
      <c r="A29" s="12" t="s">
        <v>22</v>
      </c>
      <c r="B29" s="15" t="s">
        <v>189</v>
      </c>
      <c r="C29" s="14" t="s">
        <v>203</v>
      </c>
      <c r="D29" s="14" t="s">
        <v>193</v>
      </c>
      <c r="E29" s="14"/>
    </row>
    <row r="30" spans="1:5" x14ac:dyDescent="0.3">
      <c r="A30" s="12" t="s">
        <v>23</v>
      </c>
      <c r="B30" s="15" t="s">
        <v>189</v>
      </c>
      <c r="C30" s="14" t="s">
        <v>204</v>
      </c>
      <c r="D30" s="14" t="s">
        <v>193</v>
      </c>
      <c r="E30" s="14"/>
    </row>
    <row r="31" spans="1:5" ht="22.8" x14ac:dyDescent="0.3">
      <c r="A31" s="12" t="s">
        <v>24</v>
      </c>
      <c r="B31" s="16" t="s">
        <v>205</v>
      </c>
      <c r="C31" s="14" t="s">
        <v>206</v>
      </c>
      <c r="D31" s="14" t="s">
        <v>181</v>
      </c>
      <c r="E31" s="14" t="s">
        <v>207</v>
      </c>
    </row>
    <row r="32" spans="1:5" x14ac:dyDescent="0.3">
      <c r="A32" s="12" t="s">
        <v>25</v>
      </c>
      <c r="B32" s="16" t="s">
        <v>205</v>
      </c>
      <c r="C32" s="14" t="s">
        <v>208</v>
      </c>
      <c r="D32" s="14" t="s">
        <v>174</v>
      </c>
      <c r="E32" s="14"/>
    </row>
    <row r="33" spans="1:5" x14ac:dyDescent="0.3">
      <c r="A33" s="12" t="s">
        <v>26</v>
      </c>
      <c r="B33" s="16" t="s">
        <v>205</v>
      </c>
      <c r="C33" s="14" t="s">
        <v>209</v>
      </c>
      <c r="D33" s="14" t="s">
        <v>193</v>
      </c>
      <c r="E33" s="14"/>
    </row>
    <row r="34" spans="1:5" x14ac:dyDescent="0.3">
      <c r="A34" s="12" t="s">
        <v>27</v>
      </c>
      <c r="B34" s="16" t="s">
        <v>205</v>
      </c>
      <c r="C34" s="14" t="s">
        <v>210</v>
      </c>
      <c r="D34" s="14" t="s">
        <v>193</v>
      </c>
      <c r="E34" s="14"/>
    </row>
    <row r="35" spans="1:5" x14ac:dyDescent="0.3">
      <c r="A35" s="12" t="s">
        <v>28</v>
      </c>
      <c r="B35" s="16" t="s">
        <v>205</v>
      </c>
      <c r="C35" s="14" t="s">
        <v>211</v>
      </c>
      <c r="D35" s="14" t="s">
        <v>193</v>
      </c>
      <c r="E35" s="14"/>
    </row>
    <row r="36" spans="1:5" x14ac:dyDescent="0.3">
      <c r="A36" s="12" t="s">
        <v>29</v>
      </c>
      <c r="B36" s="16" t="s">
        <v>205</v>
      </c>
      <c r="C36" s="14" t="s">
        <v>212</v>
      </c>
      <c r="D36" s="14" t="s">
        <v>193</v>
      </c>
      <c r="E36" s="14"/>
    </row>
    <row r="37" spans="1:5" ht="22.8" x14ac:dyDescent="0.3">
      <c r="A37" s="12" t="s">
        <v>30</v>
      </c>
      <c r="B37" s="16" t="s">
        <v>205</v>
      </c>
      <c r="C37" s="14" t="s">
        <v>213</v>
      </c>
      <c r="D37" s="14" t="s">
        <v>181</v>
      </c>
      <c r="E37" s="14" t="s">
        <v>214</v>
      </c>
    </row>
    <row r="38" spans="1:5" x14ac:dyDescent="0.3">
      <c r="A38" s="12" t="s">
        <v>31</v>
      </c>
      <c r="B38" s="16" t="s">
        <v>205</v>
      </c>
      <c r="C38" s="14" t="s">
        <v>215</v>
      </c>
      <c r="D38" s="14" t="s">
        <v>181</v>
      </c>
      <c r="E38" s="14" t="s">
        <v>216</v>
      </c>
    </row>
    <row r="39" spans="1:5" x14ac:dyDescent="0.3">
      <c r="A39" s="12" t="s">
        <v>32</v>
      </c>
      <c r="B39" s="16" t="s">
        <v>205</v>
      </c>
      <c r="C39" s="14" t="s">
        <v>286</v>
      </c>
      <c r="D39" s="14" t="s">
        <v>181</v>
      </c>
      <c r="E39" s="14" t="s">
        <v>217</v>
      </c>
    </row>
    <row r="40" spans="1:5" ht="22.8" x14ac:dyDescent="0.3">
      <c r="A40" s="12" t="s">
        <v>33</v>
      </c>
      <c r="B40" s="16" t="s">
        <v>205</v>
      </c>
      <c r="C40" s="14" t="s">
        <v>218</v>
      </c>
      <c r="D40" s="14" t="s">
        <v>181</v>
      </c>
      <c r="E40" s="14" t="s">
        <v>219</v>
      </c>
    </row>
    <row r="41" spans="1:5" x14ac:dyDescent="0.3">
      <c r="A41" s="12" t="s">
        <v>34</v>
      </c>
      <c r="B41" s="16" t="s">
        <v>205</v>
      </c>
      <c r="C41" s="14" t="s">
        <v>220</v>
      </c>
      <c r="D41" s="14" t="s">
        <v>178</v>
      </c>
      <c r="E41" s="14"/>
    </row>
    <row r="42" spans="1:5" ht="22.8" x14ac:dyDescent="0.3">
      <c r="A42" s="12" t="s">
        <v>35</v>
      </c>
      <c r="B42" s="16" t="s">
        <v>205</v>
      </c>
      <c r="C42" s="14" t="s">
        <v>221</v>
      </c>
      <c r="D42" s="14" t="s">
        <v>178</v>
      </c>
      <c r="E42" s="14"/>
    </row>
    <row r="43" spans="1:5" ht="22.8" x14ac:dyDescent="0.3">
      <c r="A43" s="12" t="s">
        <v>36</v>
      </c>
      <c r="B43" s="17" t="s">
        <v>222</v>
      </c>
      <c r="C43" s="14" t="s">
        <v>223</v>
      </c>
      <c r="D43" s="14" t="s">
        <v>181</v>
      </c>
      <c r="E43" s="14" t="s">
        <v>224</v>
      </c>
    </row>
    <row r="44" spans="1:5" x14ac:dyDescent="0.3">
      <c r="A44" s="12" t="s">
        <v>37</v>
      </c>
      <c r="B44" s="17" t="s">
        <v>222</v>
      </c>
      <c r="C44" s="14" t="s">
        <v>285</v>
      </c>
      <c r="D44" s="14" t="s">
        <v>181</v>
      </c>
      <c r="E44" s="14" t="s">
        <v>225</v>
      </c>
    </row>
    <row r="45" spans="1:5" x14ac:dyDescent="0.3">
      <c r="A45" s="12" t="s">
        <v>38</v>
      </c>
      <c r="B45" s="17" t="s">
        <v>222</v>
      </c>
      <c r="C45" s="14" t="s">
        <v>287</v>
      </c>
      <c r="D45" s="14" t="s">
        <v>181</v>
      </c>
      <c r="E45" s="14" t="s">
        <v>226</v>
      </c>
    </row>
    <row r="46" spans="1:5" x14ac:dyDescent="0.3">
      <c r="A46" s="12" t="s">
        <v>39</v>
      </c>
      <c r="B46" s="17" t="s">
        <v>222</v>
      </c>
      <c r="C46" s="14" t="s">
        <v>227</v>
      </c>
      <c r="D46" s="14" t="s">
        <v>181</v>
      </c>
      <c r="E46" s="14" t="s">
        <v>228</v>
      </c>
    </row>
    <row r="47" spans="1:5" x14ac:dyDescent="0.3">
      <c r="A47" s="12" t="s">
        <v>40</v>
      </c>
      <c r="B47" s="17" t="s">
        <v>222</v>
      </c>
      <c r="C47" s="14" t="s">
        <v>229</v>
      </c>
      <c r="D47" s="14" t="s">
        <v>174</v>
      </c>
      <c r="E47" s="14"/>
    </row>
    <row r="48" spans="1:5" x14ac:dyDescent="0.3">
      <c r="A48" s="12" t="s">
        <v>41</v>
      </c>
      <c r="B48" s="17" t="s">
        <v>222</v>
      </c>
      <c r="C48" s="14" t="s">
        <v>230</v>
      </c>
      <c r="D48" s="14" t="s">
        <v>193</v>
      </c>
      <c r="E48" s="14"/>
    </row>
    <row r="49" spans="1:5" x14ac:dyDescent="0.3">
      <c r="A49" s="12" t="s">
        <v>42</v>
      </c>
      <c r="B49" s="17" t="s">
        <v>222</v>
      </c>
      <c r="C49" s="14" t="s">
        <v>231</v>
      </c>
      <c r="D49" s="14" t="s">
        <v>193</v>
      </c>
      <c r="E49" s="14"/>
    </row>
    <row r="50" spans="1:5" x14ac:dyDescent="0.3">
      <c r="A50" s="12" t="s">
        <v>43</v>
      </c>
      <c r="B50" s="17" t="s">
        <v>222</v>
      </c>
      <c r="C50" s="14" t="s">
        <v>232</v>
      </c>
      <c r="D50" s="14" t="s">
        <v>193</v>
      </c>
      <c r="E50" s="14"/>
    </row>
    <row r="51" spans="1:5" x14ac:dyDescent="0.3">
      <c r="A51" s="12" t="s">
        <v>44</v>
      </c>
      <c r="B51" s="17" t="s">
        <v>222</v>
      </c>
      <c r="C51" s="14" t="s">
        <v>233</v>
      </c>
      <c r="D51" s="14" t="s">
        <v>193</v>
      </c>
      <c r="E51" s="14"/>
    </row>
    <row r="52" spans="1:5" x14ac:dyDescent="0.3">
      <c r="A52" s="12" t="s">
        <v>45</v>
      </c>
      <c r="B52" s="17" t="s">
        <v>222</v>
      </c>
      <c r="C52" s="14" t="s">
        <v>234</v>
      </c>
      <c r="D52" s="14" t="s">
        <v>181</v>
      </c>
      <c r="E52" s="14" t="s">
        <v>235</v>
      </c>
    </row>
    <row r="53" spans="1:5" x14ac:dyDescent="0.3">
      <c r="A53" s="12" t="s">
        <v>46</v>
      </c>
      <c r="B53" s="17" t="s">
        <v>222</v>
      </c>
      <c r="C53" s="14" t="s">
        <v>236</v>
      </c>
      <c r="D53" s="14" t="s">
        <v>181</v>
      </c>
      <c r="E53" s="14" t="s">
        <v>237</v>
      </c>
    </row>
    <row r="54" spans="1:5" x14ac:dyDescent="0.3">
      <c r="A54" s="12" t="s">
        <v>47</v>
      </c>
      <c r="B54" s="18" t="s">
        <v>238</v>
      </c>
      <c r="C54" s="14" t="s">
        <v>239</v>
      </c>
      <c r="D54" s="14" t="s">
        <v>174</v>
      </c>
      <c r="E54" s="14"/>
    </row>
    <row r="55" spans="1:5" x14ac:dyDescent="0.3">
      <c r="A55" s="39" t="s">
        <v>375</v>
      </c>
      <c r="B55" s="18" t="s">
        <v>238</v>
      </c>
      <c r="C55" s="40" t="s">
        <v>386</v>
      </c>
      <c r="D55" s="40" t="s">
        <v>174</v>
      </c>
      <c r="E55" s="14"/>
    </row>
    <row r="56" spans="1:5" x14ac:dyDescent="0.3">
      <c r="A56" s="12" t="s">
        <v>48</v>
      </c>
      <c r="B56" s="18" t="s">
        <v>238</v>
      </c>
      <c r="C56" s="14" t="s">
        <v>240</v>
      </c>
      <c r="D56" s="14" t="s">
        <v>174</v>
      </c>
      <c r="E56" s="14"/>
    </row>
    <row r="57" spans="1:5" x14ac:dyDescent="0.3">
      <c r="A57" s="12" t="s">
        <v>49</v>
      </c>
      <c r="B57" s="18" t="s">
        <v>238</v>
      </c>
      <c r="C57" s="14" t="s">
        <v>241</v>
      </c>
      <c r="D57" s="14" t="s">
        <v>181</v>
      </c>
      <c r="E57" s="14" t="s">
        <v>242</v>
      </c>
    </row>
    <row r="58" spans="1:5" x14ac:dyDescent="0.3">
      <c r="A58" s="12" t="s">
        <v>50</v>
      </c>
      <c r="B58" s="18" t="s">
        <v>238</v>
      </c>
      <c r="C58" s="14" t="s">
        <v>243</v>
      </c>
      <c r="D58" s="14" t="s">
        <v>181</v>
      </c>
      <c r="E58" s="14" t="s">
        <v>244</v>
      </c>
    </row>
    <row r="59" spans="1:5" x14ac:dyDescent="0.3">
      <c r="A59" s="12" t="s">
        <v>51</v>
      </c>
      <c r="B59" s="18" t="s">
        <v>238</v>
      </c>
      <c r="C59" s="14" t="s">
        <v>245</v>
      </c>
      <c r="D59" s="14" t="s">
        <v>193</v>
      </c>
      <c r="E59" s="14"/>
    </row>
    <row r="60" spans="1:5" x14ac:dyDescent="0.3">
      <c r="A60" s="12" t="s">
        <v>52</v>
      </c>
      <c r="B60" s="18" t="s">
        <v>238</v>
      </c>
      <c r="C60" s="14" t="s">
        <v>246</v>
      </c>
      <c r="D60" s="14" t="s">
        <v>193</v>
      </c>
      <c r="E60" s="14"/>
    </row>
    <row r="61" spans="1:5" x14ac:dyDescent="0.3">
      <c r="A61" s="12" t="s">
        <v>53</v>
      </c>
      <c r="B61" s="18" t="s">
        <v>238</v>
      </c>
      <c r="C61" s="14" t="s">
        <v>247</v>
      </c>
      <c r="D61" s="14" t="s">
        <v>178</v>
      </c>
      <c r="E61" s="14"/>
    </row>
    <row r="62" spans="1:5" x14ac:dyDescent="0.3">
      <c r="A62" s="12" t="s">
        <v>54</v>
      </c>
      <c r="B62" s="18" t="s">
        <v>238</v>
      </c>
      <c r="C62" s="14" t="s">
        <v>248</v>
      </c>
      <c r="D62" s="14" t="s">
        <v>178</v>
      </c>
      <c r="E62" s="14"/>
    </row>
    <row r="63" spans="1:5" x14ac:dyDescent="0.3">
      <c r="A63" s="12" t="s">
        <v>55</v>
      </c>
      <c r="B63" s="18" t="s">
        <v>238</v>
      </c>
      <c r="C63" s="14" t="s">
        <v>249</v>
      </c>
      <c r="D63" s="14" t="s">
        <v>181</v>
      </c>
      <c r="E63" s="14" t="s">
        <v>250</v>
      </c>
    </row>
    <row r="64" spans="1:5" ht="22.8" x14ac:dyDescent="0.3">
      <c r="A64" s="12" t="s">
        <v>56</v>
      </c>
      <c r="B64" s="19" t="s">
        <v>251</v>
      </c>
      <c r="C64" s="14" t="s">
        <v>252</v>
      </c>
      <c r="D64" s="14" t="s">
        <v>181</v>
      </c>
      <c r="E64" s="14" t="s">
        <v>253</v>
      </c>
    </row>
    <row r="65" spans="1:5" ht="22.8" x14ac:dyDescent="0.3">
      <c r="A65" s="12" t="s">
        <v>57</v>
      </c>
      <c r="B65" s="19" t="s">
        <v>251</v>
      </c>
      <c r="C65" s="14" t="s">
        <v>254</v>
      </c>
      <c r="D65" s="14" t="s">
        <v>181</v>
      </c>
      <c r="E65" s="14" t="s">
        <v>255</v>
      </c>
    </row>
    <row r="66" spans="1:5" ht="22.8" x14ac:dyDescent="0.3">
      <c r="A66" s="12" t="s">
        <v>58</v>
      </c>
      <c r="B66" s="19" t="s">
        <v>251</v>
      </c>
      <c r="C66" s="14" t="s">
        <v>256</v>
      </c>
      <c r="D66" s="14" t="s">
        <v>184</v>
      </c>
      <c r="E66" s="14" t="s">
        <v>185</v>
      </c>
    </row>
    <row r="67" spans="1:5" ht="22.8" x14ac:dyDescent="0.3">
      <c r="A67" s="12" t="s">
        <v>59</v>
      </c>
      <c r="B67" s="19" t="s">
        <v>251</v>
      </c>
      <c r="C67" s="14" t="s">
        <v>257</v>
      </c>
      <c r="D67" s="14" t="s">
        <v>184</v>
      </c>
      <c r="E67" s="14" t="s">
        <v>185</v>
      </c>
    </row>
    <row r="68" spans="1:5" ht="22.8" x14ac:dyDescent="0.3">
      <c r="A68" s="12" t="s">
        <v>60</v>
      </c>
      <c r="B68" s="19" t="s">
        <v>251</v>
      </c>
      <c r="C68" s="14" t="s">
        <v>258</v>
      </c>
      <c r="D68" s="14" t="s">
        <v>174</v>
      </c>
      <c r="E68" s="14"/>
    </row>
    <row r="69" spans="1:5" ht="22.8" x14ac:dyDescent="0.3">
      <c r="A69" s="12" t="s">
        <v>61</v>
      </c>
      <c r="B69" s="19" t="s">
        <v>251</v>
      </c>
      <c r="C69" s="14" t="s">
        <v>259</v>
      </c>
      <c r="D69" s="14" t="s">
        <v>174</v>
      </c>
      <c r="E69" s="14"/>
    </row>
    <row r="70" spans="1:5" ht="22.8" x14ac:dyDescent="0.3">
      <c r="A70" s="12" t="s">
        <v>62</v>
      </c>
      <c r="B70" s="19" t="s">
        <v>251</v>
      </c>
      <c r="C70" s="14" t="s">
        <v>289</v>
      </c>
      <c r="D70" s="14" t="s">
        <v>184</v>
      </c>
      <c r="E70" s="14" t="s">
        <v>185</v>
      </c>
    </row>
    <row r="71" spans="1:5" ht="22.8" x14ac:dyDescent="0.3">
      <c r="A71" s="12" t="s">
        <v>63</v>
      </c>
      <c r="B71" s="19" t="s">
        <v>251</v>
      </c>
      <c r="C71" s="14" t="s">
        <v>260</v>
      </c>
      <c r="D71" s="14" t="s">
        <v>181</v>
      </c>
      <c r="E71" s="14" t="s">
        <v>261</v>
      </c>
    </row>
    <row r="72" spans="1:5" ht="22.8" x14ac:dyDescent="0.3">
      <c r="A72" s="12" t="s">
        <v>64</v>
      </c>
      <c r="B72" s="19" t="s">
        <v>251</v>
      </c>
      <c r="C72" s="14" t="s">
        <v>262</v>
      </c>
      <c r="D72" s="14" t="s">
        <v>184</v>
      </c>
      <c r="E72" s="14" t="s">
        <v>185</v>
      </c>
    </row>
    <row r="73" spans="1:5" ht="22.8" x14ac:dyDescent="0.3">
      <c r="A73" s="12" t="s">
        <v>65</v>
      </c>
      <c r="B73" s="19" t="s">
        <v>251</v>
      </c>
      <c r="C73" s="14" t="s">
        <v>263</v>
      </c>
      <c r="D73" s="14" t="s">
        <v>181</v>
      </c>
      <c r="E73" s="14" t="s">
        <v>264</v>
      </c>
    </row>
    <row r="74" spans="1:5" ht="22.8" x14ac:dyDescent="0.3">
      <c r="A74" s="12" t="s">
        <v>66</v>
      </c>
      <c r="B74" s="19" t="s">
        <v>251</v>
      </c>
      <c r="C74" s="14" t="s">
        <v>288</v>
      </c>
      <c r="D74" s="14" t="s">
        <v>184</v>
      </c>
      <c r="E74" s="14" t="s">
        <v>185</v>
      </c>
    </row>
    <row r="75" spans="1:5" ht="22.8" x14ac:dyDescent="0.3">
      <c r="A75" s="12" t="s">
        <v>67</v>
      </c>
      <c r="B75" s="19" t="s">
        <v>251</v>
      </c>
      <c r="C75" s="14" t="s">
        <v>265</v>
      </c>
      <c r="D75" s="14" t="s">
        <v>174</v>
      </c>
      <c r="E75" s="14"/>
    </row>
    <row r="76" spans="1:5" ht="22.8" x14ac:dyDescent="0.3">
      <c r="A76" s="12" t="s">
        <v>68</v>
      </c>
      <c r="B76" s="19" t="s">
        <v>251</v>
      </c>
      <c r="C76" s="14" t="s">
        <v>266</v>
      </c>
      <c r="D76" s="14" t="s">
        <v>181</v>
      </c>
      <c r="E76" s="14" t="s">
        <v>267</v>
      </c>
    </row>
    <row r="77" spans="1:5" ht="22.8" x14ac:dyDescent="0.3">
      <c r="A77" s="12" t="s">
        <v>69</v>
      </c>
      <c r="B77" s="20" t="s">
        <v>268</v>
      </c>
      <c r="C77" s="14" t="s">
        <v>269</v>
      </c>
      <c r="D77" s="14" t="s">
        <v>178</v>
      </c>
      <c r="E77" s="14"/>
    </row>
    <row r="78" spans="1:5" ht="22.8" x14ac:dyDescent="0.3">
      <c r="A78" s="12" t="s">
        <v>70</v>
      </c>
      <c r="B78" s="20" t="s">
        <v>268</v>
      </c>
      <c r="C78" s="14" t="s">
        <v>270</v>
      </c>
      <c r="D78" s="14" t="s">
        <v>184</v>
      </c>
      <c r="E78" s="14" t="s">
        <v>185</v>
      </c>
    </row>
    <row r="79" spans="1:5" ht="22.8" x14ac:dyDescent="0.3">
      <c r="A79" s="12" t="s">
        <v>71</v>
      </c>
      <c r="B79" s="20" t="s">
        <v>268</v>
      </c>
      <c r="C79" s="14" t="s">
        <v>271</v>
      </c>
      <c r="D79" s="14" t="s">
        <v>181</v>
      </c>
      <c r="E79" s="14" t="s">
        <v>272</v>
      </c>
    </row>
    <row r="80" spans="1:5" ht="22.8" x14ac:dyDescent="0.3">
      <c r="A80" s="12" t="s">
        <v>72</v>
      </c>
      <c r="B80" s="20" t="s">
        <v>268</v>
      </c>
      <c r="C80" s="14" t="s">
        <v>273</v>
      </c>
      <c r="D80" s="14" t="s">
        <v>181</v>
      </c>
      <c r="E80" s="14" t="s">
        <v>274</v>
      </c>
    </row>
    <row r="81" spans="1:5" x14ac:dyDescent="0.3">
      <c r="A81" s="12" t="s">
        <v>73</v>
      </c>
      <c r="B81" s="21" t="s">
        <v>275</v>
      </c>
      <c r="C81" s="14" t="s">
        <v>276</v>
      </c>
      <c r="D81" s="14" t="s">
        <v>181</v>
      </c>
      <c r="E81" s="14" t="s">
        <v>277</v>
      </c>
    </row>
    <row r="82" spans="1:5" x14ac:dyDescent="0.3">
      <c r="A82" s="12" t="s">
        <v>74</v>
      </c>
      <c r="B82" s="21" t="s">
        <v>275</v>
      </c>
      <c r="C82" s="14" t="s">
        <v>278</v>
      </c>
      <c r="D82" s="14" t="s">
        <v>279</v>
      </c>
      <c r="E82" s="14"/>
    </row>
    <row r="83" spans="1:5" x14ac:dyDescent="0.3">
      <c r="A83" s="12" t="s">
        <v>75</v>
      </c>
      <c r="B83" s="21" t="s">
        <v>275</v>
      </c>
      <c r="C83" s="14" t="s">
        <v>280</v>
      </c>
      <c r="D83" s="14" t="s">
        <v>184</v>
      </c>
      <c r="E83" s="14" t="s">
        <v>185</v>
      </c>
    </row>
    <row r="84" spans="1:5" x14ac:dyDescent="0.3">
      <c r="A84" s="12" t="s">
        <v>76</v>
      </c>
      <c r="B84" s="21" t="s">
        <v>275</v>
      </c>
      <c r="C84" s="14" t="s">
        <v>281</v>
      </c>
      <c r="D84" s="14" t="s">
        <v>174</v>
      </c>
      <c r="E84" s="14"/>
    </row>
  </sheetData>
  <mergeCells count="3">
    <mergeCell ref="A2:E2"/>
    <mergeCell ref="A1:E1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Extraction</vt:lpstr>
      <vt:lpstr>Listes</vt:lpstr>
      <vt:lpstr>Codebook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Valentin LAPRIE</cp:lastModifiedBy>
  <dcterms:created xsi:type="dcterms:W3CDTF">2026-07-07T14:47:42Z</dcterms:created>
  <dcterms:modified xsi:type="dcterms:W3CDTF">2026-07-09T17:44:40Z</dcterms:modified>
</cp:coreProperties>
</file>